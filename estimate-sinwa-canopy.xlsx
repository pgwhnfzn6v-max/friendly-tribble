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内訳" sheetId="1" state="visible" r:id="rId1"/>
    <sheet name="数量根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;(#,##0);-"/>
  </numFmts>
  <fonts count="8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sz val="10"/>
    </font>
    <font>
      <name val="Yu Gothic"/>
      <sz val="10"/>
    </font>
    <font>
      <name val="Yu Gothic"/>
      <color rgb="000000FF"/>
      <sz val="10"/>
    </font>
    <font>
      <name val="Yu Gothic"/>
      <b val="1"/>
      <sz val="16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3" fillId="3" borderId="1" pivotButton="0" quotePrefix="0" xfId="0"/>
    <xf numFmtId="0" fontId="4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3" fontId="5" fillId="4" borderId="1" pivotButton="0" quotePrefix="0" xfId="0"/>
    <xf numFmtId="165" fontId="4" fillId="0" borderId="1" pivotButton="0" quotePrefix="0" xfId="0"/>
    <xf numFmtId="0" fontId="2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right"/>
    </xf>
    <xf numFmtId="0" fontId="0" fillId="5" borderId="1" pivotButton="0" quotePrefix="0" xfId="0"/>
    <xf numFmtId="0" fontId="3" fillId="5" borderId="1" pivotButton="0" quotePrefix="0" xfId="0"/>
    <xf numFmtId="165" fontId="3" fillId="5" borderId="1" pivotButton="0" quotePrefix="0" xfId="0"/>
    <xf numFmtId="0" fontId="0" fillId="0" borderId="1" pivotButton="0" quotePrefix="0" xfId="0"/>
    <xf numFmtId="0" fontId="2" fillId="0" borderId="1" pivotButton="0" quotePrefix="0" xfId="0"/>
    <xf numFmtId="9" fontId="5" fillId="0" borderId="1" applyAlignment="1" pivotButton="0" quotePrefix="0" xfId="0">
      <alignment horizontal="right"/>
    </xf>
    <xf numFmtId="0" fontId="7" fillId="5" borderId="1" pivotButton="0" quotePrefix="0" xfId="0"/>
    <xf numFmtId="165" fontId="7" fillId="5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164" fontId="5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10" customWidth="1" min="4" max="4"/>
    <col width="7" customWidth="1" min="5" max="5"/>
    <col width="13" customWidth="1" min="6" max="6"/>
    <col width="15" customWidth="1" min="7" max="7"/>
    <col width="34" customWidth="1" min="8" max="8"/>
  </cols>
  <sheetData>
    <row r="1">
      <c r="A1" s="1" t="inlineStr">
        <is>
          <t>御 見 積 内 訳 書</t>
        </is>
      </c>
    </row>
    <row r="3">
      <c r="A3" s="2" t="inlineStr">
        <is>
          <t>工 事 名</t>
        </is>
      </c>
      <c r="B3" s="3" t="inlineStr">
        <is>
          <t>車寄せ 前方・後方パネル／ルーバー 撤去工事（仮称）</t>
        </is>
      </c>
    </row>
    <row r="4">
      <c r="A4" s="2" t="inlineStr">
        <is>
          <t>工事場所</t>
        </is>
      </c>
      <c r="B4" s="3" t="inlineStr">
        <is>
          <t>神奈川県横浜市都筑区茅ケ崎南 3-23-5　信和ホームズ㈱ 社屋 車寄せ</t>
        </is>
      </c>
    </row>
    <row r="5">
      <c r="A5" s="2" t="inlineStr">
        <is>
          <t>現地調査</t>
        </is>
      </c>
      <c r="B5" s="3" t="inlineStr">
        <is>
          <t>2026年9月2日（水）9:00　立会：専務 藤井 様（熊谷組 担当）／社長 古谷 様／会長 園尾 様</t>
        </is>
      </c>
    </row>
    <row r="6">
      <c r="A6" s="2" t="inlineStr">
        <is>
          <t>工事概要</t>
        </is>
      </c>
      <c r="B6" s="3" t="inlineStr">
        <is>
          <t>前方パネル（ケイカル板）一部4面 ／ 後方パネル 1面 ／ 奥のルーバー＋下地（鉄骨アングル）の撤去。取合い部シールは先行撤去。撤去後は鉄骨あらわし。</t>
        </is>
      </c>
    </row>
    <row r="7">
      <c r="A7" s="2" t="inlineStr">
        <is>
          <t>施工条件</t>
        </is>
      </c>
      <c r="B7" s="3" t="inlineStr">
        <is>
          <t>道路側：高所作業車　／　敷地内：ローリングタワー　／　営業中（駐車車両の移動・養生あり）</t>
        </is>
      </c>
    </row>
    <row r="8">
      <c r="A8" s="2" t="inlineStr">
        <is>
          <t>作成日</t>
        </is>
      </c>
      <c r="B8" s="3" t="inlineStr">
        <is>
          <t>2026年9月2日　（数量根拠：別シート「数量根拠」）</t>
        </is>
      </c>
    </row>
    <row r="10">
      <c r="A10" s="4" t="inlineStr">
        <is>
          <t>【記入方法】黄色セル（F列 単価）に単価を入力すると金額（G列）が自動計算されます。数量（D列）は「数量根拠」シートと連動。</t>
        </is>
      </c>
    </row>
    <row r="11">
      <c r="A11" s="5" t="inlineStr">
        <is>
          <t>No.</t>
        </is>
      </c>
      <c r="B11" s="5" t="inlineStr">
        <is>
          <t>工種・項目</t>
        </is>
      </c>
      <c r="C11" s="5" t="inlineStr">
        <is>
          <t>仕様・摘要</t>
        </is>
      </c>
      <c r="D11" s="5" t="inlineStr">
        <is>
          <t>数量</t>
        </is>
      </c>
      <c r="E11" s="5" t="inlineStr">
        <is>
          <t>単位</t>
        </is>
      </c>
      <c r="F11" s="5" t="inlineStr">
        <is>
          <t>単価</t>
        </is>
      </c>
      <c r="G11" s="5" t="inlineStr">
        <is>
          <t>金額</t>
        </is>
      </c>
      <c r="H11" s="5" t="inlineStr">
        <is>
          <t>備考</t>
        </is>
      </c>
    </row>
    <row r="12">
      <c r="A12" s="6" t="inlineStr"/>
      <c r="B12" s="2" t="inlineStr">
        <is>
          <t>Ⅰ．仮設工事</t>
        </is>
      </c>
      <c r="C12" s="6" t="n"/>
      <c r="D12" s="6" t="n"/>
      <c r="E12" s="6" t="n"/>
      <c r="F12" s="6" t="n"/>
      <c r="G12" s="6" t="n"/>
      <c r="H12" s="6" t="n"/>
    </row>
    <row r="13">
      <c r="A13" s="7" t="n">
        <v>1</v>
      </c>
      <c r="B13" s="8" t="inlineStr">
        <is>
          <t>現場仮設・養生</t>
        </is>
      </c>
      <c r="C13" s="3" t="inlineStr">
        <is>
          <t>作業区画、周辺養生、看板・カラーコーン等</t>
        </is>
      </c>
      <c r="D13" s="9" t="n">
        <v>1</v>
      </c>
      <c r="E13" s="7" t="inlineStr">
        <is>
          <t>式</t>
        </is>
      </c>
      <c r="F13" s="10" t="n"/>
      <c r="G13" s="11">
        <f>IF(F13="","",D13*F13)</f>
        <v/>
      </c>
      <c r="H13" s="12" t="inlineStr">
        <is>
          <t>駐車場・歩道の養生共</t>
        </is>
      </c>
    </row>
    <row r="14">
      <c r="A14" s="7" t="n">
        <v>2</v>
      </c>
      <c r="B14" s="8" t="inlineStr">
        <is>
          <t>高所作業車（道路側）</t>
        </is>
      </c>
      <c r="C14" s="3" t="inlineStr">
        <is>
          <t>スカイマスター等　賃料・回送費</t>
        </is>
      </c>
      <c r="D14" s="9" t="n">
        <v>2</v>
      </c>
      <c r="E14" s="7" t="inlineStr">
        <is>
          <t>日</t>
        </is>
      </c>
      <c r="F14" s="10" t="n"/>
      <c r="G14" s="11">
        <f>IF(F14="","",D14*F14)</f>
        <v/>
      </c>
      <c r="H14" s="12" t="inlineStr">
        <is>
          <t>※稼働日数は施工計画により調整</t>
        </is>
      </c>
    </row>
    <row r="15">
      <c r="A15" s="7" t="n">
        <v>3</v>
      </c>
      <c r="B15" s="8" t="inlineStr">
        <is>
          <t>ローリングタワー（敷地内）</t>
        </is>
      </c>
      <c r="C15" s="3" t="inlineStr">
        <is>
          <t>組立・解体・移動・賃料</t>
        </is>
      </c>
      <c r="D15" s="9" t="n">
        <v>1</v>
      </c>
      <c r="E15" s="7" t="inlineStr">
        <is>
          <t>式</t>
        </is>
      </c>
      <c r="F15" s="10" t="n"/>
      <c r="G15" s="11">
        <f>IF(F15="","",D15*F15)</f>
        <v/>
      </c>
      <c r="H15" s="12" t="inlineStr">
        <is>
          <t>敷地内はローリングにて施工</t>
        </is>
      </c>
    </row>
    <row r="16">
      <c r="A16" s="7" t="n">
        <v>4</v>
      </c>
      <c r="B16" s="8" t="inlineStr">
        <is>
          <t>道路使用許可申請・歩道養生</t>
        </is>
      </c>
      <c r="C16" s="3" t="inlineStr">
        <is>
          <t>警察届出、歩行者誘導員共</t>
        </is>
      </c>
      <c r="D16" s="9" t="n">
        <v>1</v>
      </c>
      <c r="E16" s="7" t="inlineStr">
        <is>
          <t>式</t>
        </is>
      </c>
      <c r="F16" s="10" t="n"/>
      <c r="G16" s="11">
        <f>IF(F16="","",D16*F16)</f>
        <v/>
      </c>
      <c r="H16" s="12" t="inlineStr">
        <is>
          <t>要否は道路管理者と協議</t>
        </is>
      </c>
    </row>
    <row r="17">
      <c r="A17" s="7" t="n">
        <v>5</v>
      </c>
      <c r="B17" s="8" t="inlineStr">
        <is>
          <t>駐車車両の移動・場内調整</t>
        </is>
      </c>
      <c r="C17" s="3" t="inlineStr">
        <is>
          <t>営業中のため作業前後の車両移動</t>
        </is>
      </c>
      <c r="D17" s="9" t="n">
        <v>1</v>
      </c>
      <c r="E17" s="7" t="inlineStr">
        <is>
          <t>式</t>
        </is>
      </c>
      <c r="F17" s="10" t="n"/>
      <c r="G17" s="11">
        <f>IF(F17="","",D17*F17)</f>
        <v/>
      </c>
      <c r="H17" s="12" t="inlineStr"/>
    </row>
    <row r="18">
      <c r="A18" s="6" t="inlineStr"/>
      <c r="B18" s="2" t="inlineStr">
        <is>
          <t>Ⅱ．事前調査（石綿）</t>
        </is>
      </c>
      <c r="C18" s="6" t="n"/>
      <c r="D18" s="6" t="n"/>
      <c r="E18" s="6" t="n"/>
      <c r="F18" s="6" t="n"/>
      <c r="G18" s="6" t="n"/>
      <c r="H18" s="6" t="n"/>
    </row>
    <row r="19">
      <c r="A19" s="7" t="n">
        <v>6</v>
      </c>
      <c r="B19" s="8" t="inlineStr">
        <is>
          <t>石綿事前調査</t>
        </is>
      </c>
      <c r="C19" s="3" t="inlineStr">
        <is>
          <t>有資格者による調査・報告（労基署／自治体届出共）</t>
        </is>
      </c>
      <c r="D19" s="9" t="n">
        <v>1</v>
      </c>
      <c r="E19" s="7" t="inlineStr">
        <is>
          <t>式</t>
        </is>
      </c>
      <c r="F19" s="10" t="n"/>
      <c r="G19" s="11">
        <f>IF(F19="","",D19*F19)</f>
        <v/>
      </c>
      <c r="H19" s="12" t="inlineStr">
        <is>
          <t>法定（改正大防法・安衛法）</t>
        </is>
      </c>
    </row>
    <row r="20">
      <c r="A20" s="7" t="n">
        <v>7</v>
      </c>
      <c r="B20" s="8" t="inlineStr">
        <is>
          <t>石綿分析（定性分析）</t>
        </is>
      </c>
      <c r="C20" s="3" t="inlineStr">
        <is>
          <t>ケイカル板・シール材・その他仕上材</t>
        </is>
      </c>
      <c r="D20" s="9" t="n">
        <v>3</v>
      </c>
      <c r="E20" s="7" t="inlineStr">
        <is>
          <t>検体</t>
        </is>
      </c>
      <c r="F20" s="10" t="n"/>
      <c r="G20" s="11">
        <f>IF(F20="","",D20*F20)</f>
        <v/>
      </c>
      <c r="H20" s="12" t="inlineStr">
        <is>
          <t>検体数は調査結果による</t>
        </is>
      </c>
    </row>
    <row r="21">
      <c r="A21" s="6" t="inlineStr"/>
      <c r="B21" s="2" t="inlineStr">
        <is>
          <t>Ⅲ．撤去工事</t>
        </is>
      </c>
      <c r="C21" s="6" t="n"/>
      <c r="D21" s="6" t="n"/>
      <c r="E21" s="6" t="n"/>
      <c r="F21" s="6" t="n"/>
      <c r="G21" s="6" t="n"/>
      <c r="H21" s="6" t="n"/>
    </row>
    <row r="22">
      <c r="A22" s="7" t="n">
        <v>8</v>
      </c>
      <c r="B22" s="8" t="inlineStr">
        <is>
          <t>取合い部シール 先行撤去</t>
        </is>
      </c>
      <c r="C22" s="3" t="inlineStr">
        <is>
          <t>既存シーリング（変成シリコーン等）　本体撤去に先行</t>
        </is>
      </c>
      <c r="D22" s="13">
        <f>数量根拠!C31</f>
        <v/>
      </c>
      <c r="E22" s="7" t="inlineStr">
        <is>
          <t>m</t>
        </is>
      </c>
      <c r="F22" s="10" t="n"/>
      <c r="G22" s="11">
        <f>IF(F22="","",D22*F22)</f>
        <v/>
      </c>
      <c r="H22" s="12" t="inlineStr">
        <is>
          <t>石綿含有時は湿潤化・作業計画別途</t>
        </is>
      </c>
    </row>
    <row r="23">
      <c r="A23" s="7" t="n">
        <v>9</v>
      </c>
      <c r="B23" s="8" t="inlineStr">
        <is>
          <t>前方パネル 撤去</t>
        </is>
      </c>
      <c r="C23" s="3" t="inlineStr">
        <is>
          <t>ケイカル板（サイン付き上部梁 前面）　一部4面　H=1.0m</t>
        </is>
      </c>
      <c r="D23" s="13">
        <f>数量根拠!C26</f>
        <v/>
      </c>
      <c r="E23" s="7" t="inlineStr">
        <is>
          <t>㎡</t>
        </is>
      </c>
      <c r="F23" s="10" t="n"/>
      <c r="G23" s="11">
        <f>IF(F23="","",D23*F23)</f>
        <v/>
      </c>
      <c r="H23" s="12" t="inlineStr">
        <is>
          <t>道路側：高所作業車にて施工</t>
        </is>
      </c>
    </row>
    <row r="24">
      <c r="A24" s="7" t="n">
        <v>10</v>
      </c>
      <c r="B24" s="8" t="inlineStr">
        <is>
          <t>前方パネル 下部見切り 撤去</t>
        </is>
      </c>
      <c r="C24" s="3" t="inlineStr">
        <is>
          <t>下部 300 の見切り・板金部</t>
        </is>
      </c>
      <c r="D24" s="13">
        <f>数量根拠!C27</f>
        <v/>
      </c>
      <c r="E24" s="7" t="inlineStr">
        <is>
          <t>m</t>
        </is>
      </c>
      <c r="F24" s="10" t="n"/>
      <c r="G24" s="11">
        <f>IF(F24="","",D24*F24)</f>
        <v/>
      </c>
      <c r="H24" s="12" t="inlineStr">
        <is>
          <t>パネルと一体の場合は No.9 に含む</t>
        </is>
      </c>
    </row>
    <row r="25">
      <c r="A25" s="7" t="n">
        <v>11</v>
      </c>
      <c r="B25" s="8" t="inlineStr">
        <is>
          <t>後方パネル 撤去</t>
        </is>
      </c>
      <c r="C25" s="3" t="inlineStr">
        <is>
          <t>ケイカル板（中段梁・屋根と一体）　1面</t>
        </is>
      </c>
      <c r="D25" s="13">
        <f>数量根拠!C28</f>
        <v/>
      </c>
      <c r="E25" s="7" t="inlineStr">
        <is>
          <t>㎡</t>
        </is>
      </c>
      <c r="F25" s="10" t="n"/>
      <c r="G25" s="11">
        <f>IF(F25="","",D25*F25)</f>
        <v/>
      </c>
      <c r="H25" s="12" t="inlineStr">
        <is>
          <t>敷地内：ローリングタワーにて施工</t>
        </is>
      </c>
    </row>
    <row r="26">
      <c r="A26" s="7" t="n">
        <v>12</v>
      </c>
      <c r="B26" s="8" t="inlineStr">
        <is>
          <t>ルーバー 撤去</t>
        </is>
      </c>
      <c r="C26" s="3" t="inlineStr">
        <is>
          <t>アルミ／鋼製ルーバー　奥のルーバー部</t>
        </is>
      </c>
      <c r="D26" s="13">
        <f>数量根拠!C29</f>
        <v/>
      </c>
      <c r="E26" s="7" t="inlineStr">
        <is>
          <t>㎡</t>
        </is>
      </c>
      <c r="F26" s="10" t="n"/>
      <c r="G26" s="11">
        <f>IF(F26="","",D26*F26)</f>
        <v/>
      </c>
      <c r="H26" s="12" t="inlineStr">
        <is>
          <t>5.8m × 4.8m（幅は要確認）</t>
        </is>
      </c>
    </row>
    <row r="27">
      <c r="A27" s="7" t="n">
        <v>13</v>
      </c>
      <c r="B27" s="8" t="inlineStr">
        <is>
          <t>ルーバー下地 撤去</t>
        </is>
      </c>
      <c r="C27" s="3" t="inlineStr">
        <is>
          <t>鉄骨アングル下地（母屋・振れ止め共）</t>
        </is>
      </c>
      <c r="D27" s="13">
        <f>数量根拠!C30</f>
        <v/>
      </c>
      <c r="E27" s="7" t="inlineStr">
        <is>
          <t>㎡</t>
        </is>
      </c>
      <c r="F27" s="10" t="n"/>
      <c r="G27" s="11">
        <f>IF(F27="","",D27*F27)</f>
        <v/>
      </c>
      <c r="H27" s="12" t="inlineStr">
        <is>
          <t>溶断・ボルト外し共</t>
        </is>
      </c>
    </row>
    <row r="28">
      <c r="A28" s="7" t="n">
        <v>14</v>
      </c>
      <c r="B28" s="8" t="inlineStr">
        <is>
          <t>撤去材 小運搬・積込</t>
        </is>
      </c>
      <c r="C28" s="3" t="inlineStr">
        <is>
          <t>場内小運搬、荷降ろし、積込手間</t>
        </is>
      </c>
      <c r="D28" s="9" t="n">
        <v>1</v>
      </c>
      <c r="E28" s="7" t="inlineStr">
        <is>
          <t>式</t>
        </is>
      </c>
      <c r="F28" s="10" t="n"/>
      <c r="G28" s="11">
        <f>IF(F28="","",D28*F28)</f>
        <v/>
      </c>
      <c r="H28" s="12" t="inlineStr"/>
    </row>
    <row r="29">
      <c r="A29" s="7" t="n">
        <v>15</v>
      </c>
      <c r="B29" s="8" t="inlineStr">
        <is>
          <t>清掃・後片付け</t>
        </is>
      </c>
      <c r="C29" s="3" t="inlineStr">
        <is>
          <t>作業後の清掃、車路の復旧</t>
        </is>
      </c>
      <c r="D29" s="9" t="n">
        <v>1</v>
      </c>
      <c r="E29" s="7" t="inlineStr">
        <is>
          <t>式</t>
        </is>
      </c>
      <c r="F29" s="10" t="n"/>
      <c r="G29" s="11">
        <f>IF(F29="","",D29*F29)</f>
        <v/>
      </c>
      <c r="H29" s="12" t="inlineStr"/>
    </row>
    <row r="30">
      <c r="A30" s="6" t="inlineStr"/>
      <c r="B30" s="2" t="inlineStr">
        <is>
          <t>Ⅳ．運搬・処分</t>
        </is>
      </c>
      <c r="C30" s="6" t="n"/>
      <c r="D30" s="6" t="n"/>
      <c r="E30" s="6" t="n"/>
      <c r="F30" s="6" t="n"/>
      <c r="G30" s="6" t="n"/>
      <c r="H30" s="6" t="n"/>
    </row>
    <row r="31">
      <c r="A31" s="7" t="n">
        <v>16</v>
      </c>
      <c r="B31" s="8" t="inlineStr">
        <is>
          <t>廃材運搬</t>
        </is>
      </c>
      <c r="C31" s="3" t="inlineStr">
        <is>
          <t>4t 車　現場 → 処分場</t>
        </is>
      </c>
      <c r="D31" s="9" t="n">
        <v>2</v>
      </c>
      <c r="E31" s="7" t="inlineStr">
        <is>
          <t>台</t>
        </is>
      </c>
      <c r="F31" s="10" t="n"/>
      <c r="G31" s="11">
        <f>IF(F31="","",D31*F31)</f>
        <v/>
      </c>
      <c r="H31" s="12" t="inlineStr">
        <is>
          <t>積載量により調整</t>
        </is>
      </c>
    </row>
    <row r="32">
      <c r="A32" s="7" t="n">
        <v>17</v>
      </c>
      <c r="B32" s="8" t="inlineStr">
        <is>
          <t>処分費（金属くず）</t>
        </is>
      </c>
      <c r="C32" s="3" t="inlineStr">
        <is>
          <t>ルーバー・鉄骨アングル・板金</t>
        </is>
      </c>
      <c r="D32" s="9" t="n">
        <v>1.5</v>
      </c>
      <c r="E32" s="7" t="inlineStr">
        <is>
          <t>t</t>
        </is>
      </c>
      <c r="F32" s="10" t="n"/>
      <c r="G32" s="11">
        <f>IF(F32="","",D32*F32)</f>
        <v/>
      </c>
      <c r="H32" s="12" t="inlineStr">
        <is>
          <t>有価物となる場合は控除</t>
        </is>
      </c>
    </row>
    <row r="33">
      <c r="A33" s="7" t="n">
        <v>18</v>
      </c>
      <c r="B33" s="8" t="inlineStr">
        <is>
          <t>処分費（ケイカル板・混合廃棄物）</t>
        </is>
      </c>
      <c r="C33" s="3" t="inlineStr">
        <is>
          <t>石綿非含有の場合</t>
        </is>
      </c>
      <c r="D33" s="9" t="n">
        <v>2</v>
      </c>
      <c r="E33" s="7" t="inlineStr">
        <is>
          <t>㎥</t>
        </is>
      </c>
      <c r="F33" s="10" t="n"/>
      <c r="G33" s="11">
        <f>IF(F33="","",D33*F33)</f>
        <v/>
      </c>
      <c r="H33" s="12" t="inlineStr">
        <is>
          <t>分析結果により区分</t>
        </is>
      </c>
    </row>
    <row r="34">
      <c r="A34" s="7" t="n">
        <v>19</v>
      </c>
      <c r="B34" s="8" t="inlineStr">
        <is>
          <t>処分費（石綿含有廃棄物）</t>
        </is>
      </c>
      <c r="C34" s="3" t="inlineStr">
        <is>
          <t>レベル3該当時（ケイカル板・シール材）</t>
        </is>
      </c>
      <c r="D34" s="9" t="n">
        <v>0</v>
      </c>
      <c r="E34" s="7" t="inlineStr">
        <is>
          <t>kg</t>
        </is>
      </c>
      <c r="F34" s="10" t="n"/>
      <c r="G34" s="11">
        <f>IF(F34="","",D34*F34)</f>
        <v/>
      </c>
      <c r="H34" s="12" t="inlineStr">
        <is>
          <t>※分析で含有判明時に別途計上</t>
        </is>
      </c>
    </row>
    <row r="35">
      <c r="A35" s="6" t="inlineStr"/>
      <c r="B35" s="2" t="inlineStr">
        <is>
          <t>Ⅴ．諸経費</t>
        </is>
      </c>
      <c r="C35" s="6" t="n"/>
      <c r="D35" s="6" t="n"/>
      <c r="E35" s="6" t="n"/>
      <c r="F35" s="6" t="n"/>
      <c r="G35" s="6" t="n"/>
      <c r="H35" s="6" t="n"/>
    </row>
    <row r="36">
      <c r="A36" s="7" t="n">
        <v>20</v>
      </c>
      <c r="B36" s="8" t="inlineStr">
        <is>
          <t>現場管理費・安全衛生費</t>
        </is>
      </c>
      <c r="C36" s="3" t="inlineStr">
        <is>
          <t>有資格者配置、KY・安全書類、保護具</t>
        </is>
      </c>
      <c r="D36" s="9" t="n">
        <v>1</v>
      </c>
      <c r="E36" s="7" t="inlineStr">
        <is>
          <t>式</t>
        </is>
      </c>
      <c r="F36" s="10" t="n"/>
      <c r="G36" s="11">
        <f>IF(F36="","",D36*F36)</f>
        <v/>
      </c>
      <c r="H36" s="12" t="inlineStr"/>
    </row>
    <row r="37">
      <c r="A37" s="7" t="n">
        <v>21</v>
      </c>
      <c r="B37" s="8" t="inlineStr">
        <is>
          <t>諸経費</t>
        </is>
      </c>
      <c r="C37" s="3" t="inlineStr">
        <is>
          <t>一般管理費等</t>
        </is>
      </c>
      <c r="D37" s="9" t="n">
        <v>1</v>
      </c>
      <c r="E37" s="7" t="inlineStr">
        <is>
          <t>式</t>
        </is>
      </c>
      <c r="F37" s="10" t="n"/>
      <c r="G37" s="11">
        <f>IF(F37="","",D37*F37)</f>
        <v/>
      </c>
      <c r="H37" s="12" t="inlineStr">
        <is>
          <t>下記 率入力でも可</t>
        </is>
      </c>
    </row>
    <row r="39">
      <c r="A39" s="14" t="n"/>
      <c r="B39" s="15" t="inlineStr">
        <is>
          <t>直接工事費 計（Ⅰ〜Ⅴ）</t>
        </is>
      </c>
      <c r="C39" s="14" t="n"/>
      <c r="D39" s="14" t="n"/>
      <c r="E39" s="14" t="n"/>
      <c r="F39" s="14" t="n"/>
      <c r="G39" s="16">
        <f>SUM(G12:G37)</f>
        <v/>
      </c>
      <c r="H39" s="14" t="n"/>
    </row>
    <row r="40">
      <c r="A40" s="17" t="n"/>
      <c r="B40" s="8" t="inlineStr">
        <is>
          <t>値引き</t>
        </is>
      </c>
      <c r="C40" s="17" t="n"/>
      <c r="D40" s="17" t="n"/>
      <c r="E40" s="17" t="n"/>
      <c r="F40" s="10" t="n"/>
      <c r="G40" s="11">
        <f>IF(F40="",0,-F40)</f>
        <v/>
      </c>
      <c r="H40" s="18" t="inlineStr">
        <is>
          <t>※値引額を黄色セルに正数で入力</t>
        </is>
      </c>
    </row>
    <row r="41">
      <c r="A41" s="14" t="n"/>
      <c r="B41" s="15" t="inlineStr">
        <is>
          <t>小　計</t>
        </is>
      </c>
      <c r="C41" s="14" t="n"/>
      <c r="D41" s="14" t="n"/>
      <c r="E41" s="14" t="n"/>
      <c r="F41" s="14" t="n"/>
      <c r="G41" s="16">
        <f>G39+G40</f>
        <v/>
      </c>
      <c r="H41" s="14" t="n"/>
    </row>
    <row r="42">
      <c r="A42" s="17" t="n"/>
      <c r="B42" s="8" t="inlineStr">
        <is>
          <t>消費税</t>
        </is>
      </c>
      <c r="C42" s="17" t="n"/>
      <c r="D42" s="19" t="n">
        <v>0.1</v>
      </c>
      <c r="E42" s="7" t="inlineStr">
        <is>
          <t>率</t>
        </is>
      </c>
      <c r="F42" s="17" t="n"/>
      <c r="G42" s="11">
        <f>ROUND(G41*D42,0)</f>
        <v/>
      </c>
      <c r="H42" s="17" t="n"/>
    </row>
    <row r="43">
      <c r="A43" s="14" t="n"/>
      <c r="B43" s="20" t="inlineStr">
        <is>
          <t>合　計（税込）</t>
        </is>
      </c>
      <c r="C43" s="14" t="n"/>
      <c r="D43" s="14" t="n"/>
      <c r="E43" s="14" t="n"/>
      <c r="F43" s="14" t="n"/>
      <c r="G43" s="21">
        <f>G41+G42</f>
        <v/>
      </c>
      <c r="H43" s="14" t="n"/>
    </row>
    <row r="46">
      <c r="B46" s="22" t="inlineStr">
        <is>
          <t>【別途工事（本見積に含まず）】</t>
        </is>
      </c>
    </row>
    <row r="47">
      <c r="B47" s="23" t="inlineStr">
        <is>
          <t>・CON 部（RCスラブ・天井・照明）の撤去</t>
        </is>
      </c>
    </row>
    <row r="48">
      <c r="B48" s="23" t="inlineStr">
        <is>
          <t>・門型 丸柱・角柱の撤去</t>
        </is>
      </c>
    </row>
    <row r="49">
      <c r="B49" s="23" t="inlineStr">
        <is>
          <t>・ポリカ波板（前面帯 左側）の撤去</t>
        </is>
      </c>
    </row>
    <row r="50">
      <c r="B50" s="23" t="inlineStr">
        <is>
          <t>・電気設備（サイン照明・配線）の切離し・復旧</t>
        </is>
      </c>
    </row>
    <row r="51">
      <c r="B51" s="23" t="inlineStr">
        <is>
          <t>・撤去後の鉄骨あらわし部の補修・防錆塗装</t>
        </is>
      </c>
    </row>
    <row r="52">
      <c r="B52" s="23" t="inlineStr">
        <is>
          <t>・雨仕舞い・仕上げ復旧、新設パネル・サイン工事</t>
        </is>
      </c>
    </row>
    <row r="53">
      <c r="B53" s="23" t="inlineStr">
        <is>
          <t>・夜間・休日作業の割増、警備員配置</t>
        </is>
      </c>
    </row>
    <row r="54">
      <c r="B54" s="23" t="inlineStr">
        <is>
          <t>・石綿含有が判明した場合の隔離・湿潤化等の増額、特別管理産業廃棄物の処分費</t>
        </is>
      </c>
    </row>
    <row r="56">
      <c r="B56" s="22" t="inlineStr">
        <is>
          <t>【確認事項】</t>
        </is>
      </c>
    </row>
    <row r="57">
      <c r="B57" s="23" t="inlineStr">
        <is>
          <t>・後方パネルの高さ（未測定：A と同等 1.0m と仮定）</t>
        </is>
      </c>
    </row>
    <row r="58">
      <c r="B58" s="23" t="inlineStr">
        <is>
          <t>・ルーバー部の幅（未測定：吹抜け部と同幅 4.8m と仮定）</t>
        </is>
      </c>
    </row>
    <row r="59">
      <c r="B59" s="23" t="inlineStr">
        <is>
          <t>・「ケイカル 15ヶ」の意味（パネル枚数か、取合い箇所数か）</t>
        </is>
      </c>
    </row>
    <row r="60">
      <c r="B60" s="23" t="inlineStr">
        <is>
          <t>・前方パネル『一部4面』の位置（現地で朱書き願います）</t>
        </is>
      </c>
    </row>
    <row r="61">
      <c r="B61" s="23" t="inlineStr">
        <is>
          <t>・取合いシールの実延長（現状は外周概算 71m）</t>
        </is>
      </c>
    </row>
    <row r="62">
      <c r="B62" s="23" t="inlineStr">
        <is>
          <t>・CON 部の撤去要否</t>
        </is>
      </c>
    </row>
    <row r="63">
      <c r="B63" s="23" t="inlineStr">
        <is>
          <t>・作業日・作業時間帯（営業中）と駐車場の使用可否</t>
        </is>
      </c>
    </row>
    <row r="64">
      <c r="B64" s="23" t="inlineStr">
        <is>
          <t>・撤去材の有価売却（金属くず）の可否</t>
        </is>
      </c>
    </row>
  </sheetData>
  <mergeCells count="7">
    <mergeCell ref="B8:H8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8" customWidth="1" min="4" max="4"/>
    <col width="62" customWidth="1" min="5" max="5"/>
  </cols>
  <sheetData>
    <row r="1">
      <c r="A1" s="24" t="inlineStr">
        <is>
          <t>数量根拠（2026/09/02 現地調査 実測値）</t>
        </is>
      </c>
    </row>
    <row r="2">
      <c r="A2" s="4" t="inlineStr">
        <is>
          <t>出典：現地調査時の書込み図面（撤去範囲図 図番01 rev.4 への赤・青書込み PDF）。青字＝実測値・聞取り、黒字＝計算式。</t>
        </is>
      </c>
    </row>
    <row r="4">
      <c r="A4" s="22" t="inlineStr">
        <is>
          <t>■ 実測値（書込みより）</t>
        </is>
      </c>
      <c r="B4" t="inlineStr"/>
      <c r="C4" t="inlineStr"/>
      <c r="D4" t="inlineStr"/>
      <c r="E4" t="inlineStr"/>
    </row>
    <row r="5">
      <c r="A5" s="25" t="inlineStr">
        <is>
          <t>記号</t>
        </is>
      </c>
      <c r="B5" s="25" t="inlineStr">
        <is>
          <t>項目</t>
        </is>
      </c>
      <c r="C5" s="25" t="inlineStr">
        <is>
          <t>値</t>
        </is>
      </c>
      <c r="D5" s="25" t="inlineStr">
        <is>
          <t>単位</t>
        </is>
      </c>
      <c r="E5" s="25" t="inlineStr">
        <is>
          <t>記載箇所・備考</t>
        </is>
      </c>
    </row>
    <row r="6">
      <c r="A6" s="8" t="inlineStr">
        <is>
          <t>m1</t>
        </is>
      </c>
      <c r="B6" s="8" t="inlineStr">
        <is>
          <t>A 前方パネル 全長</t>
        </is>
      </c>
      <c r="C6" s="26" t="n">
        <v>19.5</v>
      </c>
      <c r="D6" s="8" t="inlineStr">
        <is>
          <t>m</t>
        </is>
      </c>
      <c r="E6" s="8" t="inlineStr">
        <is>
          <t>正面図 L1 赤書き 19.5m</t>
        </is>
      </c>
    </row>
    <row r="7">
      <c r="A7" s="8" t="inlineStr">
        <is>
          <t>m2</t>
        </is>
      </c>
      <c r="B7" s="8" t="inlineStr">
        <is>
          <t>A 前方パネル 高さ</t>
        </is>
      </c>
      <c r="C7" s="26" t="n">
        <v>1</v>
      </c>
      <c r="D7" s="8" t="inlineStr">
        <is>
          <t>m</t>
        </is>
      </c>
      <c r="E7" s="8" t="inlineStr">
        <is>
          <t>正面図 赤書き 1000</t>
        </is>
      </c>
    </row>
    <row r="8">
      <c r="A8" s="8" t="inlineStr">
        <is>
          <t>m3</t>
        </is>
      </c>
      <c r="B8" s="8" t="inlineStr">
        <is>
          <t>A 前方パネル 下部見切り</t>
        </is>
      </c>
      <c r="C8" s="26" t="n">
        <v>0.3</v>
      </c>
      <c r="D8" s="8" t="inlineStr">
        <is>
          <t>m</t>
        </is>
      </c>
      <c r="E8" s="8" t="inlineStr">
        <is>
          <t>上空図 赤書き 300（下部）</t>
        </is>
      </c>
    </row>
    <row r="9">
      <c r="A9" s="8" t="inlineStr">
        <is>
          <t>m4</t>
        </is>
      </c>
      <c r="B9" s="8" t="inlineStr">
        <is>
          <t>B 後方パネル 全長</t>
        </is>
      </c>
      <c r="C9" s="26" t="n">
        <v>14</v>
      </c>
      <c r="D9" s="8" t="inlineStr">
        <is>
          <t>m</t>
        </is>
      </c>
      <c r="E9" s="8" t="inlineStr">
        <is>
          <t>正面図 L2 赤書き 14m</t>
        </is>
      </c>
    </row>
    <row r="10">
      <c r="A10" s="8" t="inlineStr">
        <is>
          <t>m5</t>
        </is>
      </c>
      <c r="B10" s="8" t="inlineStr">
        <is>
          <t>B 後方パネル 高さ（仮定）</t>
        </is>
      </c>
      <c r="C10" s="26" t="n">
        <v>1</v>
      </c>
      <c r="D10" s="8" t="inlineStr">
        <is>
          <t>m</t>
        </is>
      </c>
      <c r="E10" s="8" t="inlineStr">
        <is>
          <t>※未測定。A と同等と仮定 → 要確認</t>
        </is>
      </c>
    </row>
    <row r="11">
      <c r="A11" s="8" t="inlineStr">
        <is>
          <t>m6</t>
        </is>
      </c>
      <c r="B11" s="8" t="inlineStr">
        <is>
          <t>前面帯（波板・CON・吹抜け）奥行</t>
        </is>
      </c>
      <c r="C11" s="26" t="n">
        <v>2.1</v>
      </c>
      <c r="D11" s="8" t="inlineStr">
        <is>
          <t>m</t>
        </is>
      </c>
      <c r="E11" s="8" t="inlineStr">
        <is>
          <t>上空図 赤書き 2100</t>
        </is>
      </c>
    </row>
    <row r="12">
      <c r="A12" s="8" t="inlineStr">
        <is>
          <t>m7</t>
        </is>
      </c>
      <c r="B12" s="8" t="inlineStr">
        <is>
          <t>右端部（吹抜け側）幅</t>
        </is>
      </c>
      <c r="C12" s="26" t="n">
        <v>4.8</v>
      </c>
      <c r="D12" s="8" t="inlineStr">
        <is>
          <t>m</t>
        </is>
      </c>
      <c r="E12" s="8" t="inlineStr">
        <is>
          <t>上空図 赤書き 4800</t>
        </is>
      </c>
    </row>
    <row r="13">
      <c r="A13" s="8" t="inlineStr">
        <is>
          <t>m8</t>
        </is>
      </c>
      <c r="B13" s="8" t="inlineStr">
        <is>
          <t>ルーバー部 奥行</t>
        </is>
      </c>
      <c r="C13" s="26" t="n">
        <v>5.8</v>
      </c>
      <c r="D13" s="8" t="inlineStr">
        <is>
          <t>m</t>
        </is>
      </c>
      <c r="E13" s="8" t="inlineStr">
        <is>
          <t>上空図 赤書き 5800（赤の切断位置マーク間）</t>
        </is>
      </c>
    </row>
    <row r="14">
      <c r="A14" s="8" t="inlineStr">
        <is>
          <t>m9</t>
        </is>
      </c>
      <c r="B14" s="8" t="inlineStr">
        <is>
          <t>ルーバー部 幅（仮定）</t>
        </is>
      </c>
      <c r="C14" s="26" t="n">
        <v>4.8</v>
      </c>
      <c r="D14" s="8" t="inlineStr">
        <is>
          <t>m</t>
        </is>
      </c>
      <c r="E14" s="8" t="inlineStr">
        <is>
          <t>※未測定。m7（吹抜け部幅）と同幅と仮定 → 要確認</t>
        </is>
      </c>
    </row>
    <row r="15">
      <c r="A15" s="23" t="inlineStr"/>
      <c r="B15" s="23" t="inlineStr"/>
      <c r="C15" s="23" t="inlineStr"/>
      <c r="D15" s="23" t="inlineStr"/>
      <c r="E15" s="23" t="inlineStr"/>
    </row>
    <row r="16">
      <c r="A16" s="22" t="inlineStr">
        <is>
          <t>■ 仕様（聞取り・書込み）</t>
        </is>
      </c>
      <c r="B16" t="inlineStr"/>
      <c r="C16" t="inlineStr"/>
      <c r="D16" t="inlineStr"/>
      <c r="E16" t="inlineStr"/>
    </row>
    <row r="17">
      <c r="A17" s="8" t="inlineStr">
        <is>
          <t>s1</t>
        </is>
      </c>
      <c r="B17" s="8" t="inlineStr">
        <is>
          <t>パネル材質</t>
        </is>
      </c>
      <c r="C17" s="8" t="inlineStr">
        <is>
          <t>ケイカル板</t>
        </is>
      </c>
      <c r="D17" s="8" t="inlineStr">
        <is>
          <t>－</t>
        </is>
      </c>
      <c r="E17" s="8" t="inlineStr">
        <is>
          <t>工事概要欄 青書き「鉄骨あらわし、ケイカル 15ヶ …」</t>
        </is>
      </c>
    </row>
    <row r="18">
      <c r="A18" s="8" t="inlineStr">
        <is>
          <t>s2</t>
        </is>
      </c>
      <c r="B18" s="8" t="inlineStr">
        <is>
          <t>パネル数量（聞取り）</t>
        </is>
      </c>
      <c r="C18" s="8" t="inlineStr">
        <is>
          <t>15 ヶ</t>
        </is>
      </c>
      <c r="D18" s="8" t="inlineStr">
        <is>
          <t>－</t>
        </is>
      </c>
      <c r="E18" s="8" t="inlineStr">
        <is>
          <t>「ケイカル 15ヶ」＝枚数か箇所数か要確認</t>
        </is>
      </c>
    </row>
    <row r="19">
      <c r="A19" s="8" t="inlineStr">
        <is>
          <t>s3</t>
        </is>
      </c>
      <c r="B19" s="8" t="inlineStr">
        <is>
          <t>下地</t>
        </is>
      </c>
      <c r="C19" s="8" t="inlineStr">
        <is>
          <t>鉄骨アングル</t>
        </is>
      </c>
      <c r="D19" s="8" t="inlineStr">
        <is>
          <t>－</t>
        </is>
      </c>
      <c r="E19" s="8" t="inlineStr">
        <is>
          <t>上空図 青書き「鉄骨アングル」</t>
        </is>
      </c>
    </row>
    <row r="20">
      <c r="A20" s="8" t="inlineStr">
        <is>
          <t>s4</t>
        </is>
      </c>
      <c r="B20" s="8" t="inlineStr">
        <is>
          <t>撤去後の状態</t>
        </is>
      </c>
      <c r="C20" s="8" t="inlineStr">
        <is>
          <t>鉄骨あらわし</t>
        </is>
      </c>
      <c r="D20" s="8" t="inlineStr">
        <is>
          <t>－</t>
        </is>
      </c>
      <c r="E20" s="8" t="inlineStr">
        <is>
          <t>仕上げ復旧の要否は別途確認</t>
        </is>
      </c>
    </row>
    <row r="21">
      <c r="A21" s="8" t="inlineStr">
        <is>
          <t>s5</t>
        </is>
      </c>
      <c r="B21" s="8" t="inlineStr">
        <is>
          <t>前面帯 左側の屋根材</t>
        </is>
      </c>
      <c r="C21" s="8" t="inlineStr">
        <is>
          <t>ポリカ波板</t>
        </is>
      </c>
      <c r="D21" s="8" t="inlineStr">
        <is>
          <t>－</t>
        </is>
      </c>
      <c r="E21" s="8" t="inlineStr">
        <is>
          <t>上空図 青書き「ポリカ」。撤去範囲外（別途）</t>
        </is>
      </c>
    </row>
    <row r="22">
      <c r="A22" s="23" t="inlineStr"/>
      <c r="B22" s="23" t="inlineStr"/>
      <c r="C22" s="23" t="inlineStr"/>
      <c r="D22" s="23" t="inlineStr"/>
      <c r="E22" s="23" t="inlineStr"/>
    </row>
    <row r="23">
      <c r="A23" s="22" t="inlineStr">
        <is>
          <t>■ 数量計算</t>
        </is>
      </c>
      <c r="B23" t="inlineStr"/>
      <c r="C23" t="inlineStr"/>
      <c r="D23" t="inlineStr"/>
      <c r="E23" t="inlineStr"/>
    </row>
    <row r="24">
      <c r="A24" s="25" t="inlineStr">
        <is>
          <t>記号</t>
        </is>
      </c>
      <c r="B24" s="25" t="inlineStr">
        <is>
          <t>項目</t>
        </is>
      </c>
      <c r="C24" s="25" t="inlineStr">
        <is>
          <t>数量</t>
        </is>
      </c>
      <c r="D24" s="25" t="inlineStr">
        <is>
          <t>単位</t>
        </is>
      </c>
      <c r="E24" s="25" t="inlineStr">
        <is>
          <t>計算式</t>
        </is>
      </c>
    </row>
    <row r="25">
      <c r="A25" s="8" t="inlineStr">
        <is>
          <t>Q1</t>
        </is>
      </c>
      <c r="B25" s="8" t="inlineStr">
        <is>
          <t>A 前方パネル 撤去面積</t>
        </is>
      </c>
      <c r="C25" s="27">
        <f>C6*C7</f>
        <v/>
      </c>
      <c r="D25" s="8" t="inlineStr">
        <is>
          <t>㎡</t>
        </is>
      </c>
      <c r="E25" s="18" t="inlineStr">
        <is>
          <t>m1 × m2 ＝ 19.5m × 1.0m</t>
        </is>
      </c>
    </row>
    <row r="26">
      <c r="A26" s="8" t="inlineStr">
        <is>
          <t>Q2</t>
        </is>
      </c>
      <c r="B26" s="8" t="inlineStr">
        <is>
          <t>A 前方パネル 下部見切り 撤去</t>
        </is>
      </c>
      <c r="C26" s="27">
        <f>C6</f>
        <v/>
      </c>
      <c r="D26" s="8" t="inlineStr">
        <is>
          <t>m</t>
        </is>
      </c>
      <c r="E26" s="18" t="inlineStr">
        <is>
          <t>m1（下部300 の見切り材・延長）</t>
        </is>
      </c>
    </row>
    <row r="27">
      <c r="A27" s="8" t="inlineStr">
        <is>
          <t>Q3</t>
        </is>
      </c>
      <c r="B27" s="8" t="inlineStr">
        <is>
          <t>B 後方パネル 撤去面積</t>
        </is>
      </c>
      <c r="C27" s="27">
        <f>C9*C10</f>
        <v/>
      </c>
      <c r="D27" s="8" t="inlineStr">
        <is>
          <t>㎡</t>
        </is>
      </c>
      <c r="E27" s="18" t="inlineStr">
        <is>
          <t>m4 × m5 ＝ 14.0m × 1.0m（高さ仮定）</t>
        </is>
      </c>
    </row>
    <row r="28">
      <c r="A28" s="8" t="inlineStr">
        <is>
          <t>Q4</t>
        </is>
      </c>
      <c r="B28" s="8" t="inlineStr">
        <is>
          <t>ルーバー 撤去面積</t>
        </is>
      </c>
      <c r="C28" s="27">
        <f>C13*C14</f>
        <v/>
      </c>
      <c r="D28" s="8" t="inlineStr">
        <is>
          <t>㎡</t>
        </is>
      </c>
      <c r="E28" s="18" t="inlineStr">
        <is>
          <t>m8 × m9 ＝ 5.8m × 4.8m（幅は仮定）</t>
        </is>
      </c>
    </row>
    <row r="29">
      <c r="A29" s="8" t="inlineStr">
        <is>
          <t>Q5</t>
        </is>
      </c>
      <c r="B29" s="8" t="inlineStr">
        <is>
          <t>ルーバー下地（鉄骨アングル）撤去</t>
        </is>
      </c>
      <c r="C29" s="27">
        <f>C13*C14</f>
        <v/>
      </c>
      <c r="D29" s="8" t="inlineStr">
        <is>
          <t>㎡</t>
        </is>
      </c>
      <c r="E29" s="18" t="inlineStr">
        <is>
          <t>Q4 と同数量</t>
        </is>
      </c>
    </row>
    <row r="30">
      <c r="A30" s="8" t="inlineStr">
        <is>
          <t>Q6</t>
        </is>
      </c>
      <c r="B30" s="8" t="inlineStr">
        <is>
          <t>取合い部シール 先行撤去 延長</t>
        </is>
      </c>
      <c r="C30" s="27">
        <f>(C6+C7)*2+(C9+C10)*2</f>
        <v/>
      </c>
      <c r="D30" s="8" t="inlineStr">
        <is>
          <t>m</t>
        </is>
      </c>
      <c r="E30" s="18" t="inlineStr">
        <is>
          <t>A・B パネル外周の目地（概算）→ 要確認</t>
        </is>
      </c>
    </row>
    <row r="31">
      <c r="A31" s="8" t="inlineStr">
        <is>
          <t>Q7</t>
        </is>
      </c>
      <c r="B31" s="8" t="inlineStr">
        <is>
          <t>撤去材 合計（概算）</t>
        </is>
      </c>
      <c r="C31" s="27">
        <f>C26+C28+C29</f>
        <v/>
      </c>
      <c r="D31" s="8" t="inlineStr">
        <is>
          <t>㎡</t>
        </is>
      </c>
      <c r="E31" s="18" t="inlineStr">
        <is>
          <t>Q1＋Q3＋Q4（面積計）</t>
        </is>
      </c>
    </row>
    <row r="33">
      <c r="A33" s="4" t="inlineStr">
        <is>
          <t>※ 青字は現地実測値・聞取り。黒字はそれを用いた計算値。仮定値（m5・m9）は現地確認後に上書きすると見積内訳の数量・金額が自動で更新されます。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2026-09-04T05:43:24Z</dcterms:created>
  <dcterms:modified xsi:type="dcterms:W3CDTF">2026-09-04T05:43:24Z</dcterms:modified>
</cp:coreProperties>
</file>