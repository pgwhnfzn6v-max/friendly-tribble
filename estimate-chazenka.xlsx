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既存杭の撤去" sheetId="1" state="visible" r:id="rId3"/>
    <sheet name="擁壁の撤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<sst xmlns="http://schemas.openxmlformats.org/spreadsheetml/2006/main" count="115" uniqueCount="84">
  <si>
    <t xml:space="preserve">御 見 積 内 訳 書</t>
  </si>
  <si>
    <t xml:space="preserve">工 事 名</t>
  </si>
  <si>
    <t xml:space="preserve">茶禅華　既存杭 撤去工事</t>
  </si>
  <si>
    <t xml:space="preserve">工事場所</t>
  </si>
  <si>
    <t xml:space="preserve">工事概要</t>
  </si>
  <si>
    <t xml:space="preserve">既存杭の撤去、撤去杭の小割（人力・重機）、搬出</t>
  </si>
  <si>
    <t xml:space="preserve">施工条件</t>
  </si>
  <si>
    <t xml:space="preserve">作成日</t>
  </si>
  <si>
    <r>
      <rPr>
        <sz val="9"/>
        <rFont val="WenQuanYi Zen Hei"/>
        <family val="2"/>
      </rPr>
      <t xml:space="preserve">【記入方法】黄色セルが入力欄です。数量（</t>
    </r>
    <r>
      <rPr>
        <sz val="9"/>
        <rFont val="Yu Gothic"/>
        <family val="0"/>
        <charset val="1"/>
      </rPr>
      <t xml:space="preserve">D</t>
    </r>
    <r>
      <rPr>
        <sz val="9"/>
        <rFont val="WenQuanYi Zen Hei"/>
        <family val="2"/>
      </rPr>
      <t xml:space="preserve">列）・単価（</t>
    </r>
    <r>
      <rPr>
        <sz val="9"/>
        <rFont val="Yu Gothic"/>
        <family val="0"/>
        <charset val="1"/>
      </rPr>
      <t xml:space="preserve">F</t>
    </r>
    <r>
      <rPr>
        <sz val="9"/>
        <rFont val="WenQuanYi Zen Hei"/>
        <family val="2"/>
      </rPr>
      <t xml:space="preserve">列）を入力すると金額（</t>
    </r>
    <r>
      <rPr>
        <sz val="9"/>
        <rFont val="Yu Gothic"/>
        <family val="0"/>
        <charset val="1"/>
      </rPr>
      <t xml:space="preserve">G</t>
    </r>
    <r>
      <rPr>
        <sz val="9"/>
        <rFont val="WenQuanYi Zen Hei"/>
        <family val="2"/>
      </rPr>
      <t xml:space="preserve">列）・小計・消費税・合計（税込）が自動計算されます。　記入例：数量 </t>
    </r>
    <r>
      <rPr>
        <sz val="9"/>
        <rFont val="Yu Gothic"/>
        <family val="0"/>
        <charset val="1"/>
      </rPr>
      <t xml:space="preserve">12.0 </t>
    </r>
    <r>
      <rPr>
        <sz val="9"/>
        <rFont val="WenQuanYi Zen Hei"/>
        <family val="2"/>
      </rPr>
      <t xml:space="preserve">／ 単位 本 ／ 単価 </t>
    </r>
    <r>
      <rPr>
        <sz val="9"/>
        <rFont val="Yu Gothic"/>
        <family val="0"/>
        <charset val="1"/>
      </rPr>
      <t xml:space="preserve">15,000 → </t>
    </r>
    <r>
      <rPr>
        <sz val="9"/>
        <rFont val="WenQuanYi Zen Hei"/>
        <family val="2"/>
      </rPr>
      <t xml:space="preserve">金額 </t>
    </r>
    <r>
      <rPr>
        <sz val="9"/>
        <rFont val="Yu Gothic"/>
        <family val="0"/>
        <charset val="1"/>
      </rPr>
      <t xml:space="preserve">180,000</t>
    </r>
  </si>
  <si>
    <t xml:space="preserve">No.</t>
  </si>
  <si>
    <t xml:space="preserve">工種・項目</t>
  </si>
  <si>
    <t xml:space="preserve">仕様・摘要</t>
  </si>
  <si>
    <t xml:space="preserve">数量</t>
  </si>
  <si>
    <t xml:space="preserve">単位</t>
  </si>
  <si>
    <t xml:space="preserve">単価</t>
  </si>
  <si>
    <t xml:space="preserve">金額</t>
  </si>
  <si>
    <t xml:space="preserve">備考</t>
  </si>
  <si>
    <t xml:space="preserve">既存杭 撤去</t>
  </si>
  <si>
    <t xml:space="preserve">既存杭の引抜き／掘出し・切断撤去　杭種・杭径・長さ・本数は現地確認</t>
  </si>
  <si>
    <t xml:space="preserve">本</t>
  </si>
  <si>
    <r>
      <rPr>
        <sz val="10"/>
        <rFont val="WenQuanYi Zen Hei"/>
        <family val="2"/>
      </rPr>
      <t xml:space="preserve">杭種（</t>
    </r>
    <r>
      <rPr>
        <sz val="10"/>
        <rFont val="Yu Gothic"/>
        <family val="0"/>
        <charset val="1"/>
      </rPr>
      <t xml:space="preserve">PC</t>
    </r>
    <r>
      <rPr>
        <sz val="10"/>
        <rFont val="WenQuanYi Zen Hei"/>
        <family val="2"/>
      </rPr>
      <t xml:space="preserve">杭・鋼管杭・場所打ち等）により単価要調整</t>
    </r>
  </si>
  <si>
    <t xml:space="preserve">小割（人力）</t>
  </si>
  <si>
    <t xml:space="preserve">撤去杭の小割　ハンドブレーカー等（搬出可能寸法まで）</t>
  </si>
  <si>
    <t xml:space="preserve">式</t>
  </si>
  <si>
    <t xml:space="preserve">重機が入らない箇所・仕上げ小割</t>
  </si>
  <si>
    <t xml:space="preserve">小割（重機）</t>
  </si>
  <si>
    <t xml:space="preserve">バックホウ＋圧砕機による大割・小割</t>
  </si>
  <si>
    <t xml:space="preserve">日</t>
  </si>
  <si>
    <t xml:space="preserve">※原稿の「きゅうきでの小割」を重機での小割と解釈。要確認</t>
  </si>
  <si>
    <t xml:space="preserve">搬出</t>
  </si>
  <si>
    <t xml:space="preserve">撤去材の場内小運搬・積込、ダンプ運搬（現場→処分場）</t>
  </si>
  <si>
    <t xml:space="preserve">台</t>
  </si>
  <si>
    <t xml:space="preserve">処分費の要否・区分は別途確認</t>
  </si>
  <si>
    <t xml:space="preserve">諸経費</t>
  </si>
  <si>
    <t xml:space="preserve">現場管理費・安全衛生費・一般管理費等</t>
  </si>
  <si>
    <t xml:space="preserve">率での計上も可</t>
  </si>
  <si>
    <t xml:space="preserve">直接工事費 計</t>
  </si>
  <si>
    <t xml:space="preserve">値引き</t>
  </si>
  <si>
    <r>
      <rPr>
        <sz val="9"/>
        <rFont val="WenQuanYi Zen Hei"/>
        <family val="2"/>
      </rPr>
      <t xml:space="preserve">※値引額を黄色セル（</t>
    </r>
    <r>
      <rPr>
        <sz val="9"/>
        <rFont val="Yu Gothic"/>
        <family val="0"/>
        <charset val="1"/>
      </rPr>
      <t xml:space="preserve">F</t>
    </r>
    <r>
      <rPr>
        <sz val="9"/>
        <rFont val="WenQuanYi Zen Hei"/>
        <family val="2"/>
      </rPr>
      <t xml:space="preserve">列）に正数で入力</t>
    </r>
  </si>
  <si>
    <t xml:space="preserve">小　計</t>
  </si>
  <si>
    <t xml:space="preserve">消費税</t>
  </si>
  <si>
    <t xml:space="preserve">率</t>
  </si>
  <si>
    <t xml:space="preserve">合　計（税込）</t>
  </si>
  <si>
    <t xml:space="preserve">【別途工事（本見積に含まず）】</t>
  </si>
  <si>
    <t xml:space="preserve">・杭の位置出し・試掘、埋設物の調査</t>
  </si>
  <si>
    <t xml:space="preserve">・産業廃棄物の処分費（別途計上とする場合）</t>
  </si>
  <si>
    <t xml:space="preserve">・杭撤去後の埋戻し・転圧・残土処分</t>
  </si>
  <si>
    <t xml:space="preserve">・地中障害物（想定外の基礎・ガラ等）の撤去</t>
  </si>
  <si>
    <t xml:space="preserve">・夜間・休日作業の割増、警備員配置</t>
  </si>
  <si>
    <t xml:space="preserve">・近隣対策・振動騒音対策の特別措置</t>
  </si>
  <si>
    <t xml:space="preserve">【確認事項（単価・数量の記入前にご確認ください）】</t>
  </si>
  <si>
    <t xml:space="preserve">・杭種・杭径・長さ・本数（撤去範囲）</t>
  </si>
  <si>
    <t xml:space="preserve">・撤去工法（引抜き／破砕撤去）と使用重機のサイズ・搬入経路</t>
  </si>
  <si>
    <t xml:space="preserve">・小割の仕上がり寸法（搬出・処分場の受入条件）</t>
  </si>
  <si>
    <r>
      <rPr>
        <sz val="10"/>
        <rFont val="WenQuanYi Zen Hei"/>
        <family val="2"/>
      </rPr>
      <t xml:space="preserve">・搬出台数の想定（ダンプ車種：</t>
    </r>
    <r>
      <rPr>
        <sz val="10"/>
        <rFont val="Yu Gothic"/>
        <family val="0"/>
        <charset val="1"/>
      </rPr>
      <t xml:space="preserve">2t</t>
    </r>
    <r>
      <rPr>
        <sz val="10"/>
        <rFont val="WenQuanYi Zen Hei"/>
        <family val="2"/>
      </rPr>
      <t xml:space="preserve">／</t>
    </r>
    <r>
      <rPr>
        <sz val="10"/>
        <rFont val="Yu Gothic"/>
        <family val="0"/>
        <charset val="1"/>
      </rPr>
      <t xml:space="preserve">4t</t>
    </r>
    <r>
      <rPr>
        <sz val="10"/>
        <rFont val="WenQuanYi Zen Hei"/>
        <family val="2"/>
      </rPr>
      <t xml:space="preserve">／</t>
    </r>
    <r>
      <rPr>
        <sz val="10"/>
        <rFont val="Yu Gothic"/>
        <family val="0"/>
        <charset val="1"/>
      </rPr>
      <t xml:space="preserve">10t</t>
    </r>
    <r>
      <rPr>
        <sz val="10"/>
        <rFont val="WenQuanYi Zen Hei"/>
        <family val="2"/>
      </rPr>
      <t xml:space="preserve">）</t>
    </r>
  </si>
  <si>
    <t xml:space="preserve">・処分費を本見積に含めるか別途とするか</t>
  </si>
  <si>
    <t xml:space="preserve">・作業日・作業時間帯（営業中の場合の制約）</t>
  </si>
  <si>
    <t xml:space="preserve">茶禅華　擁壁 撤去工事</t>
  </si>
  <si>
    <r>
      <rPr>
        <sz val="10"/>
        <rFont val="Yu Gothic"/>
        <family val="0"/>
        <charset val="1"/>
      </rPr>
      <t xml:space="preserve">CB</t>
    </r>
    <r>
      <rPr>
        <sz val="10"/>
        <rFont val="WenQuanYi Zen Hei"/>
        <family val="2"/>
      </rPr>
      <t xml:space="preserve">（コンクリートブロック）・フェンスの撤去、擁壁の撤去および小割</t>
    </r>
  </si>
  <si>
    <r>
      <rPr>
        <sz val="10"/>
        <rFont val="Yu Gothic"/>
        <family val="0"/>
        <charset val="1"/>
      </rPr>
      <t xml:space="preserve">CB</t>
    </r>
    <r>
      <rPr>
        <sz val="10"/>
        <rFont val="WenQuanYi Zen Hei"/>
        <family val="2"/>
      </rPr>
      <t xml:space="preserve">（コンクリートブロック）撤去</t>
    </r>
  </si>
  <si>
    <r>
      <rPr>
        <sz val="10"/>
        <rFont val="WenQuanYi Zen Hei"/>
        <family val="2"/>
      </rPr>
      <t xml:space="preserve">擁壁上部 </t>
    </r>
    <r>
      <rPr>
        <sz val="10"/>
        <rFont val="Yu Gothic"/>
        <family val="0"/>
        <charset val="1"/>
      </rPr>
      <t xml:space="preserve">CB </t>
    </r>
    <r>
      <rPr>
        <sz val="10"/>
        <rFont val="WenQuanYi Zen Hei"/>
        <family val="2"/>
      </rPr>
      <t xml:space="preserve">積みの撤去　高さ・延長は現地確認</t>
    </r>
  </si>
  <si>
    <t xml:space="preserve">㎡</t>
  </si>
  <si>
    <t xml:space="preserve">控え壁・基礎部の有無を確認</t>
  </si>
  <si>
    <t xml:space="preserve">フェンス撤去</t>
  </si>
  <si>
    <r>
      <rPr>
        <sz val="10"/>
        <rFont val="Yu Gothic"/>
        <family val="0"/>
        <charset val="1"/>
      </rPr>
      <t xml:space="preserve">CB </t>
    </r>
    <r>
      <rPr>
        <sz val="10"/>
        <rFont val="WenQuanYi Zen Hei"/>
        <family val="2"/>
      </rPr>
      <t xml:space="preserve">天端・擁壁天端のフェンス撤去（支柱基礎共）</t>
    </r>
  </si>
  <si>
    <t xml:space="preserve">m</t>
  </si>
  <si>
    <t xml:space="preserve">金属くずは有価物となる場合は控除</t>
  </si>
  <si>
    <t xml:space="preserve">擁壁 撤去</t>
  </si>
  <si>
    <t xml:space="preserve">擁壁本体の撤去（重機・圧砕機）　構造・高さ・延長は現地確認</t>
  </si>
  <si>
    <t xml:space="preserve">㎥</t>
  </si>
  <si>
    <r>
      <rPr>
        <sz val="10"/>
        <rFont val="WenQuanYi Zen Hei"/>
        <family val="2"/>
      </rPr>
      <t xml:space="preserve">無筋／鉄筋・練積／</t>
    </r>
    <r>
      <rPr>
        <sz val="10"/>
        <rFont val="Yu Gothic"/>
        <family val="0"/>
        <charset val="1"/>
      </rPr>
      <t xml:space="preserve">L</t>
    </r>
    <r>
      <rPr>
        <sz val="10"/>
        <rFont val="WenQuanYi Zen Hei"/>
        <family val="2"/>
      </rPr>
      <t xml:space="preserve">型により単価要調整</t>
    </r>
  </si>
  <si>
    <t xml:space="preserve">擁壁 小割</t>
  </si>
  <si>
    <t xml:space="preserve">撤去したコンクリート塊の小割（搬出可能寸法まで）</t>
  </si>
  <si>
    <t xml:space="preserve">鉄筋の切断・分別共</t>
  </si>
  <si>
    <t xml:space="preserve">・撤去材の運搬・処分費（本シートには計上していません。要否をご指示ください）</t>
  </si>
  <si>
    <t xml:space="preserve">・山留め・土留め、掘削・埋戻し・残土処分</t>
  </si>
  <si>
    <t xml:space="preserve">・擁壁撤去後の新設擁壁・土間・外構復旧</t>
  </si>
  <si>
    <t xml:space="preserve">・隣地・道路の養生、境界復元測量</t>
  </si>
  <si>
    <r>
      <rPr>
        <sz val="10"/>
        <rFont val="WenQuanYi Zen Hei"/>
        <family val="2"/>
      </rPr>
      <t xml:space="preserve">・擁壁の構造（練積／ブロック積／鉄筋コンクリート </t>
    </r>
    <r>
      <rPr>
        <sz val="10"/>
        <rFont val="Yu Gothic"/>
        <family val="0"/>
        <charset val="1"/>
      </rPr>
      <t xml:space="preserve">L </t>
    </r>
    <r>
      <rPr>
        <sz val="10"/>
        <rFont val="WenQuanYi Zen Hei"/>
        <family val="2"/>
      </rPr>
      <t xml:space="preserve">型 等）・高さ・延長</t>
    </r>
  </si>
  <si>
    <r>
      <rPr>
        <sz val="10"/>
        <rFont val="WenQuanYi Zen Hei"/>
        <family val="2"/>
      </rPr>
      <t xml:space="preserve">・</t>
    </r>
    <r>
      <rPr>
        <sz val="10"/>
        <rFont val="Yu Gothic"/>
        <family val="0"/>
        <charset val="1"/>
      </rPr>
      <t xml:space="preserve">CB </t>
    </r>
    <r>
      <rPr>
        <sz val="10"/>
        <rFont val="WenQuanYi Zen Hei"/>
        <family val="2"/>
      </rPr>
      <t xml:space="preserve">の段数・延長、フェンスの種類（メッシュ／目隠し）・高さ・延長</t>
    </r>
  </si>
  <si>
    <t xml:space="preserve">・隣地・道路との境界、施工時の土留めの要否</t>
  </si>
  <si>
    <t xml:space="preserve">・重機の搬入経路・作業スペース（据付位置）</t>
  </si>
  <si>
    <t xml:space="preserve">・撤去材の運搬・処分を本見積に含めるか（現状は別途）</t>
  </si>
  <si>
    <t xml:space="preserve">・地中部（基礎・根入れ）の撤去範囲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</si>
</sst>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"/>
    <numFmt numFmtId="166" formatCode="#,##0"/>
    <numFmt numFmtId="167" formatCode="#,##0;\(#,##0\);\-"/>
    <numFmt numFmtId="168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color rgb="FF0000FF"/>
      <name val="Yu Gothic"/>
      <family val="0"/>
      <charset val="1"/>
    </font>
    <font>
      <sz val="9"/>
      <name val="WenQuanYi Zen Hei"/>
      <family val="2"/>
    </font>
    <font>
      <sz val="9"/>
      <name val="Yu Gothic"/>
      <family val="0"/>
      <charset val="1"/>
    </font>
    <font>
      <b val="true"/>
      <sz val="10"/>
      <name val="Yu Gothic"/>
      <family val="0"/>
      <charset val="1"/>
    </font>
    <font>
      <sz val="10"/>
      <name val="Yu Gothic"/>
      <family val="0"/>
      <charset val="1"/>
    </font>
    <font>
      <sz val="11"/>
      <name val="Yu Gothic"/>
      <family val="0"/>
      <charset val="1"/>
    </font>
    <font>
      <b val="true"/>
      <sz val="11"/>
      <name val="WenQuanYi Zen Hei"/>
      <family val="2"/>
    </font>
    <font>
      <b val="true"/>
      <sz val="11"/>
      <name val="Yu Gothic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E8E8E8"/>
      </patternFill>
    </fill>
    <fill>
      <patternFill patternType="solid">
        <fgColor rgb="FFFFFF99"/>
        <bgColor rgb="FFF2F2F2"/>
      </patternFill>
    </fill>
    <fill>
      <patternFill patternType="solid">
        <fgColor rgb="FFD9D9D9"/>
        <bgColor rgb="FFE8E8E8"/>
      </patternFill>
    </fill>
    <fill>
      <patternFill patternType="solid">
        <fgColor rgb="FFE8E8E8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3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A3" s="2" t="s">
        <v>1</v>
      </c>
      <c r="B3" s="3" t="s">
        <v>2</v>
      </c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2" t="s">
        <v>3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2" t="s">
        <v>4</v>
      </c>
      <c r="B5" s="3" t="s">
        <v>5</v>
      </c>
      <c r="C5" s="3"/>
      <c r="D5" s="3"/>
      <c r="E5" s="3"/>
      <c r="F5" s="3"/>
      <c r="G5" s="3"/>
      <c r="H5" s="3"/>
    </row>
    <row r="6" customFormat="false" ht="15" hidden="false" customHeight="false" outlineLevel="0" collapsed="false">
      <c r="A6" s="2" t="s">
        <v>6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2" t="s">
        <v>7</v>
      </c>
      <c r="B7" s="4"/>
      <c r="C7" s="4"/>
      <c r="D7" s="4"/>
      <c r="E7" s="4"/>
      <c r="F7" s="4"/>
      <c r="G7" s="4"/>
      <c r="H7" s="4"/>
    </row>
    <row r="9" customFormat="false" ht="15" hidden="false" customHeight="false" outlineLevel="0" collapsed="false">
      <c r="A9" s="5" t="s">
        <v>8</v>
      </c>
    </row>
    <row r="10" customFormat="false" ht="15" hidden="false" customHeight="false" outlineLevel="0" collapsed="false">
      <c r="A10" s="6" t="s">
        <v>9</v>
      </c>
      <c r="B10" s="7" t="s">
        <v>10</v>
      </c>
      <c r="C10" s="7" t="s">
        <v>11</v>
      </c>
      <c r="D10" s="7" t="s">
        <v>12</v>
      </c>
      <c r="E10" s="7" t="s">
        <v>13</v>
      </c>
      <c r="F10" s="7" t="s">
        <v>14</v>
      </c>
      <c r="G10" s="7" t="s">
        <v>15</v>
      </c>
      <c r="H10" s="7" t="s">
        <v>16</v>
      </c>
    </row>
    <row r="11" customFormat="false" ht="26.85" hidden="false" customHeight="false" outlineLevel="0" collapsed="false">
      <c r="A11" s="8" t="n">
        <v>1</v>
      </c>
      <c r="B11" s="9" t="s">
        <v>17</v>
      </c>
      <c r="C11" s="9" t="s">
        <v>18</v>
      </c>
      <c r="D11" s="10"/>
      <c r="E11" s="11" t="s">
        <v>19</v>
      </c>
      <c r="F11" s="12"/>
      <c r="G11" s="13" t="str">
        <f aca="false">IF(OR($D11="",$F11=""),"",$D11*$F11)</f>
        <v/>
      </c>
      <c r="H11" s="14" t="s">
        <v>20</v>
      </c>
    </row>
    <row r="12" customFormat="false" ht="15" hidden="false" customHeight="false" outlineLevel="0" collapsed="false">
      <c r="A12" s="11" t="n">
        <v>2</v>
      </c>
      <c r="B12" s="9" t="s">
        <v>21</v>
      </c>
      <c r="C12" s="9" t="s">
        <v>22</v>
      </c>
      <c r="D12" s="10"/>
      <c r="E12" s="11" t="s">
        <v>23</v>
      </c>
      <c r="F12" s="12"/>
      <c r="G12" s="13" t="str">
        <f aca="false">IF(OR($D12="",$F12=""),"",$D12*$F12)</f>
        <v/>
      </c>
      <c r="H12" s="14" t="s">
        <v>24</v>
      </c>
    </row>
    <row r="13" customFormat="false" ht="26.85" hidden="false" customHeight="false" outlineLevel="0" collapsed="false">
      <c r="A13" s="11" t="n">
        <v>3</v>
      </c>
      <c r="B13" s="9" t="s">
        <v>25</v>
      </c>
      <c r="C13" s="9" t="s">
        <v>26</v>
      </c>
      <c r="D13" s="10"/>
      <c r="E13" s="11" t="s">
        <v>27</v>
      </c>
      <c r="F13" s="12"/>
      <c r="G13" s="13" t="str">
        <f aca="false">IF(OR($D13="",$F13=""),"",$D13*$F13)</f>
        <v/>
      </c>
      <c r="H13" s="14" t="s">
        <v>28</v>
      </c>
    </row>
    <row r="14" customFormat="false" ht="15" hidden="false" customHeight="false" outlineLevel="0" collapsed="false">
      <c r="A14" s="11" t="n">
        <v>4</v>
      </c>
      <c r="B14" s="9" t="s">
        <v>29</v>
      </c>
      <c r="C14" s="9" t="s">
        <v>30</v>
      </c>
      <c r="D14" s="10"/>
      <c r="E14" s="11" t="s">
        <v>31</v>
      </c>
      <c r="F14" s="12"/>
      <c r="G14" s="13" t="str">
        <f aca="false">IF(OR($D14="",$F14=""),"",$D14*$F14)</f>
        <v/>
      </c>
      <c r="H14" s="14" t="s">
        <v>32</v>
      </c>
    </row>
    <row r="15" customFormat="false" ht="15" hidden="false" customHeight="false" outlineLevel="0" collapsed="false">
      <c r="A15" s="11" t="n">
        <v>5</v>
      </c>
      <c r="B15" s="9" t="s">
        <v>33</v>
      </c>
      <c r="C15" s="9" t="s">
        <v>34</v>
      </c>
      <c r="D15" s="10"/>
      <c r="E15" s="11" t="s">
        <v>23</v>
      </c>
      <c r="F15" s="12"/>
      <c r="G15" s="13" t="str">
        <f aca="false">IF(OR($D15="",$F15=""),"",$D15*$F15)</f>
        <v/>
      </c>
      <c r="H15" s="14" t="s">
        <v>35</v>
      </c>
    </row>
    <row r="17" customFormat="false" ht="15" hidden="false" customHeight="false" outlineLevel="0" collapsed="false">
      <c r="A17" s="15"/>
      <c r="B17" s="16" t="s">
        <v>36</v>
      </c>
      <c r="C17" s="15"/>
      <c r="D17" s="15"/>
      <c r="E17" s="15"/>
      <c r="F17" s="15"/>
      <c r="G17" s="17" t="n">
        <f aca="false">SUM(G11:G15)</f>
        <v>0</v>
      </c>
      <c r="H17" s="18"/>
    </row>
    <row r="18" customFormat="false" ht="15" hidden="false" customHeight="false" outlineLevel="0" collapsed="false">
      <c r="A18" s="15"/>
      <c r="B18" s="16" t="s">
        <v>37</v>
      </c>
      <c r="C18" s="15"/>
      <c r="D18" s="15"/>
      <c r="E18" s="15"/>
      <c r="F18" s="12"/>
      <c r="G18" s="17" t="n">
        <f aca="false">IF(F18="",0,-F18)</f>
        <v>0</v>
      </c>
      <c r="H18" s="19" t="s">
        <v>38</v>
      </c>
    </row>
    <row r="19" customFormat="false" ht="15" hidden="false" customHeight="false" outlineLevel="0" collapsed="false">
      <c r="A19" s="15"/>
      <c r="B19" s="16" t="s">
        <v>39</v>
      </c>
      <c r="C19" s="15"/>
      <c r="D19" s="15"/>
      <c r="E19" s="15"/>
      <c r="F19" s="15"/>
      <c r="G19" s="17" t="n">
        <f aca="false">G17+G18</f>
        <v>0</v>
      </c>
      <c r="H19" s="19"/>
    </row>
    <row r="20" customFormat="false" ht="15" hidden="false" customHeight="false" outlineLevel="0" collapsed="false">
      <c r="A20" s="15"/>
      <c r="B20" s="16" t="s">
        <v>40</v>
      </c>
      <c r="C20" s="15"/>
      <c r="D20" s="20" t="n">
        <v>0.1</v>
      </c>
      <c r="E20" s="21" t="s">
        <v>41</v>
      </c>
      <c r="F20" s="15"/>
      <c r="G20" s="17" t="n">
        <f aca="false">ROUND(G19*D20,0)</f>
        <v>0</v>
      </c>
      <c r="H20" s="19"/>
    </row>
    <row r="21" customFormat="false" ht="15" hidden="false" customHeight="false" outlineLevel="0" collapsed="false">
      <c r="A21" s="22"/>
      <c r="B21" s="23" t="s">
        <v>42</v>
      </c>
      <c r="C21" s="22"/>
      <c r="D21" s="22"/>
      <c r="E21" s="22"/>
      <c r="F21" s="22"/>
      <c r="G21" s="24" t="n">
        <f aca="false">G19+G20</f>
        <v>0</v>
      </c>
      <c r="H21" s="19"/>
    </row>
    <row r="24" customFormat="false" ht="15" hidden="false" customHeight="false" outlineLevel="0" collapsed="false">
      <c r="B24" s="25" t="s">
        <v>43</v>
      </c>
    </row>
    <row r="25" customFormat="false" ht="15" hidden="false" customHeight="false" outlineLevel="0" collapsed="false">
      <c r="B25" s="26" t="s">
        <v>44</v>
      </c>
    </row>
    <row r="26" customFormat="false" ht="15" hidden="false" customHeight="false" outlineLevel="0" collapsed="false">
      <c r="B26" s="26" t="s">
        <v>45</v>
      </c>
    </row>
    <row r="27" customFormat="false" ht="15" hidden="false" customHeight="false" outlineLevel="0" collapsed="false">
      <c r="B27" s="26" t="s">
        <v>46</v>
      </c>
    </row>
    <row r="28" customFormat="false" ht="15" hidden="false" customHeight="false" outlineLevel="0" collapsed="false">
      <c r="B28" s="26" t="s">
        <v>47</v>
      </c>
    </row>
    <row r="29" customFormat="false" ht="15" hidden="false" customHeight="false" outlineLevel="0" collapsed="false">
      <c r="B29" s="26" t="s">
        <v>48</v>
      </c>
    </row>
    <row r="30" customFormat="false" ht="15" hidden="false" customHeight="false" outlineLevel="0" collapsed="false">
      <c r="B30" s="26" t="s">
        <v>49</v>
      </c>
    </row>
    <row r="32" customFormat="false" ht="15" hidden="false" customHeight="false" outlineLevel="0" collapsed="false">
      <c r="B32" s="25" t="s">
        <v>50</v>
      </c>
    </row>
    <row r="33" customFormat="false" ht="15" hidden="false" customHeight="false" outlineLevel="0" collapsed="false">
      <c r="B33" s="26" t="s">
        <v>51</v>
      </c>
    </row>
    <row r="34" customFormat="false" ht="15" hidden="false" customHeight="false" outlineLevel="0" collapsed="false">
      <c r="B34" s="26" t="s">
        <v>52</v>
      </c>
    </row>
    <row r="35" customFormat="false" ht="15" hidden="false" customHeight="false" outlineLevel="0" collapsed="false">
      <c r="B35" s="26" t="s">
        <v>53</v>
      </c>
    </row>
    <row r="36" customFormat="false" ht="15" hidden="false" customHeight="false" outlineLevel="0" collapsed="false">
      <c r="B36" s="26" t="s">
        <v>54</v>
      </c>
    </row>
    <row r="37" customFormat="false" ht="15" hidden="false" customHeight="false" outlineLevel="0" collapsed="false">
      <c r="B37" s="26" t="s">
        <v>55</v>
      </c>
    </row>
    <row r="38" customFormat="false" ht="15" hidden="false" customHeight="false" outlineLevel="0" collapsed="false">
      <c r="B38" s="26" t="s">
        <v>56</v>
      </c>
    </row>
  </sheetData>
  <mergeCells count="6">
    <mergeCell ref="A1:H1"/>
    <mergeCell ref="B3:H3"/>
    <mergeCell ref="B4:H4"/>
    <mergeCell ref="B5:H5"/>
    <mergeCell ref="B6:H6"/>
    <mergeCell ref="B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0" topLeftCell="A11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3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true" outlineLevel="0" collapsed="false">
      <c r="A3" s="2" t="s">
        <v>1</v>
      </c>
      <c r="B3" s="3" t="s">
        <v>57</v>
      </c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2" t="s">
        <v>3</v>
      </c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2" t="s">
        <v>4</v>
      </c>
      <c r="B5" s="27" t="s">
        <v>58</v>
      </c>
      <c r="C5" s="27"/>
      <c r="D5" s="27"/>
      <c r="E5" s="27"/>
      <c r="F5" s="27"/>
      <c r="G5" s="27"/>
      <c r="H5" s="27"/>
    </row>
    <row r="6" customFormat="false" ht="15" hidden="false" customHeight="false" outlineLevel="0" collapsed="false">
      <c r="A6" s="2" t="s">
        <v>6</v>
      </c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2" t="s">
        <v>7</v>
      </c>
      <c r="B7" s="4"/>
      <c r="C7" s="4"/>
      <c r="D7" s="4"/>
      <c r="E7" s="4"/>
      <c r="F7" s="4"/>
      <c r="G7" s="4"/>
      <c r="H7" s="4"/>
    </row>
    <row r="9" customFormat="false" ht="15" hidden="false" customHeight="false" outlineLevel="0" collapsed="false">
      <c r="A9" s="5" t="s">
        <v>8</v>
      </c>
    </row>
    <row r="10" customFormat="false" ht="15" hidden="false" customHeight="false" outlineLevel="0" collapsed="false">
      <c r="A10" s="6" t="s">
        <v>9</v>
      </c>
      <c r="B10" s="7" t="s">
        <v>10</v>
      </c>
      <c r="C10" s="7" t="s">
        <v>11</v>
      </c>
      <c r="D10" s="7" t="s">
        <v>12</v>
      </c>
      <c r="E10" s="7" t="s">
        <v>13</v>
      </c>
      <c r="F10" s="7" t="s">
        <v>14</v>
      </c>
      <c r="G10" s="7" t="s">
        <v>15</v>
      </c>
      <c r="H10" s="7" t="s">
        <v>16</v>
      </c>
    </row>
    <row r="11" customFormat="false" ht="15" hidden="false" customHeight="false" outlineLevel="0" collapsed="false">
      <c r="A11" s="11" t="n">
        <v>1</v>
      </c>
      <c r="B11" s="28" t="s">
        <v>59</v>
      </c>
      <c r="C11" s="9" t="s">
        <v>60</v>
      </c>
      <c r="D11" s="10"/>
      <c r="E11" s="11" t="s">
        <v>61</v>
      </c>
      <c r="F11" s="12"/>
      <c r="G11" s="13" t="str">
        <f aca="false">IF(OR($D11="",$F11=""),"",$D11*$F11)</f>
        <v/>
      </c>
      <c r="H11" s="14" t="s">
        <v>62</v>
      </c>
    </row>
    <row r="12" customFormat="false" ht="15" hidden="false" customHeight="false" outlineLevel="0" collapsed="false">
      <c r="A12" s="11" t="n">
        <v>2</v>
      </c>
      <c r="B12" s="9" t="s">
        <v>63</v>
      </c>
      <c r="C12" s="28" t="s">
        <v>64</v>
      </c>
      <c r="D12" s="10"/>
      <c r="E12" s="8" t="s">
        <v>65</v>
      </c>
      <c r="F12" s="12"/>
      <c r="G12" s="13" t="str">
        <f aca="false">IF(OR($D12="",$F12=""),"",$D12*$F12)</f>
        <v/>
      </c>
      <c r="H12" s="14" t="s">
        <v>66</v>
      </c>
    </row>
    <row r="13" customFormat="false" ht="15" hidden="false" customHeight="false" outlineLevel="0" collapsed="false">
      <c r="A13" s="11" t="n">
        <v>3</v>
      </c>
      <c r="B13" s="9" t="s">
        <v>67</v>
      </c>
      <c r="C13" s="9" t="s">
        <v>68</v>
      </c>
      <c r="D13" s="10"/>
      <c r="E13" s="11" t="s">
        <v>69</v>
      </c>
      <c r="F13" s="12"/>
      <c r="G13" s="13" t="str">
        <f aca="false">IF(OR($D13="",$F13=""),"",$D13*$F13)</f>
        <v/>
      </c>
      <c r="H13" s="14" t="s">
        <v>70</v>
      </c>
    </row>
    <row r="14" customFormat="false" ht="15" hidden="false" customHeight="false" outlineLevel="0" collapsed="false">
      <c r="A14" s="11" t="n">
        <v>4</v>
      </c>
      <c r="B14" s="9" t="s">
        <v>71</v>
      </c>
      <c r="C14" s="9" t="s">
        <v>72</v>
      </c>
      <c r="D14" s="10"/>
      <c r="E14" s="11" t="s">
        <v>69</v>
      </c>
      <c r="F14" s="12"/>
      <c r="G14" s="13" t="str">
        <f aca="false">IF(OR($D14="",$F14=""),"",$D14*$F14)</f>
        <v/>
      </c>
      <c r="H14" s="14" t="s">
        <v>73</v>
      </c>
    </row>
    <row r="15" customFormat="false" ht="15" hidden="false" customHeight="false" outlineLevel="0" collapsed="false">
      <c r="A15" s="11" t="n">
        <v>5</v>
      </c>
      <c r="B15" s="9" t="s">
        <v>33</v>
      </c>
      <c r="C15" s="9" t="s">
        <v>34</v>
      </c>
      <c r="D15" s="10"/>
      <c r="E15" s="11" t="s">
        <v>23</v>
      </c>
      <c r="F15" s="12"/>
      <c r="G15" s="13" t="str">
        <f aca="false">IF(OR($D15="",$F15=""),"",$D15*$F15)</f>
        <v/>
      </c>
      <c r="H15" s="14" t="s">
        <v>35</v>
      </c>
    </row>
    <row r="17" customFormat="false" ht="15" hidden="false" customHeight="false" outlineLevel="0" collapsed="false">
      <c r="A17" s="15"/>
      <c r="B17" s="16" t="s">
        <v>36</v>
      </c>
      <c r="C17" s="15"/>
      <c r="D17" s="15"/>
      <c r="E17" s="15"/>
      <c r="F17" s="15"/>
      <c r="G17" s="17" t="n">
        <f aca="false">SUM(G11:G15)</f>
        <v>0</v>
      </c>
      <c r="H17" s="19"/>
    </row>
    <row r="18" customFormat="false" ht="15" hidden="false" customHeight="false" outlineLevel="0" collapsed="false">
      <c r="A18" s="15"/>
      <c r="B18" s="16" t="s">
        <v>37</v>
      </c>
      <c r="C18" s="15"/>
      <c r="D18" s="15"/>
      <c r="E18" s="15"/>
      <c r="F18" s="12"/>
      <c r="G18" s="17" t="n">
        <f aca="false">IF(F18="",0,-F18)</f>
        <v>0</v>
      </c>
      <c r="H18" s="19" t="s">
        <v>38</v>
      </c>
    </row>
    <row r="19" customFormat="false" ht="15" hidden="false" customHeight="false" outlineLevel="0" collapsed="false">
      <c r="A19" s="15"/>
      <c r="B19" s="16" t="s">
        <v>39</v>
      </c>
      <c r="C19" s="15"/>
      <c r="D19" s="15"/>
      <c r="E19" s="15"/>
      <c r="F19" s="15"/>
      <c r="G19" s="17" t="n">
        <f aca="false">G17+G18</f>
        <v>0</v>
      </c>
      <c r="H19" s="19"/>
    </row>
    <row r="20" customFormat="false" ht="15" hidden="false" customHeight="false" outlineLevel="0" collapsed="false">
      <c r="A20" s="15"/>
      <c r="B20" s="16" t="s">
        <v>40</v>
      </c>
      <c r="C20" s="15"/>
      <c r="D20" s="20" t="n">
        <v>0.1</v>
      </c>
      <c r="E20" s="21" t="s">
        <v>41</v>
      </c>
      <c r="F20" s="15"/>
      <c r="G20" s="17" t="n">
        <f aca="false">ROUND(G19*D20,0)</f>
        <v>0</v>
      </c>
      <c r="H20" s="19"/>
    </row>
    <row r="21" customFormat="false" ht="15" hidden="false" customHeight="false" outlineLevel="0" collapsed="false">
      <c r="A21" s="22"/>
      <c r="B21" s="23" t="s">
        <v>42</v>
      </c>
      <c r="C21" s="22"/>
      <c r="D21" s="22"/>
      <c r="E21" s="22"/>
      <c r="F21" s="22"/>
      <c r="G21" s="24" t="n">
        <f aca="false">G19+G20</f>
        <v>0</v>
      </c>
      <c r="H21" s="19"/>
    </row>
    <row r="24" customFormat="false" ht="15" hidden="false" customHeight="false" outlineLevel="0" collapsed="false">
      <c r="B24" s="25" t="s">
        <v>43</v>
      </c>
    </row>
    <row r="25" customFormat="false" ht="15" hidden="false" customHeight="false" outlineLevel="0" collapsed="false">
      <c r="B25" s="26" t="s">
        <v>74</v>
      </c>
    </row>
    <row r="26" customFormat="false" ht="15" hidden="false" customHeight="false" outlineLevel="0" collapsed="false">
      <c r="B26" s="26" t="s">
        <v>75</v>
      </c>
    </row>
    <row r="27" customFormat="false" ht="15" hidden="false" customHeight="false" outlineLevel="0" collapsed="false">
      <c r="B27" s="26" t="s">
        <v>76</v>
      </c>
    </row>
    <row r="28" customFormat="false" ht="15" hidden="false" customHeight="false" outlineLevel="0" collapsed="false">
      <c r="B28" s="26" t="s">
        <v>77</v>
      </c>
    </row>
    <row r="29" customFormat="false" ht="15" hidden="false" customHeight="false" outlineLevel="0" collapsed="false">
      <c r="B29" s="26" t="s">
        <v>48</v>
      </c>
    </row>
    <row r="31" customFormat="false" ht="15" hidden="false" customHeight="false" outlineLevel="0" collapsed="false">
      <c r="B31" s="25" t="s">
        <v>50</v>
      </c>
    </row>
    <row r="32" customFormat="false" ht="15" hidden="false" customHeight="false" outlineLevel="0" collapsed="false">
      <c r="B32" s="26" t="s">
        <v>78</v>
      </c>
    </row>
    <row r="33" customFormat="false" ht="15" hidden="false" customHeight="false" outlineLevel="0" collapsed="false">
      <c r="B33" s="26" t="s">
        <v>79</v>
      </c>
    </row>
    <row r="34" customFormat="false" ht="15" hidden="false" customHeight="false" outlineLevel="0" collapsed="false">
      <c r="B34" s="26" t="s">
        <v>80</v>
      </c>
    </row>
    <row r="35" customFormat="false" ht="15" hidden="false" customHeight="false" outlineLevel="0" collapsed="false">
      <c r="B35" s="26" t="s">
        <v>81</v>
      </c>
    </row>
    <row r="36" customFormat="false" ht="15" hidden="false" customHeight="false" outlineLevel="0" collapsed="false">
      <c r="B36" s="26" t="s">
        <v>82</v>
      </c>
    </row>
    <row r="37" customFormat="false" ht="15" hidden="false" customHeight="false" outlineLevel="0" collapsed="false">
      <c r="B37" s="26" t="s">
        <v>83</v>
      </c>
    </row>
  </sheetData>
  <mergeCells count="6">
    <mergeCell ref="A1:H1"/>
    <mergeCell ref="B3:H3"/>
    <mergeCell ref="B4:H4"/>
    <mergeCell ref="B5:H5"/>
    <mergeCell ref="B6:H6"/>
    <mergeCell ref="B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2026-09-08T08:09:46Z</dcterms:created>
  <dc:creator>openpyxl</dc:creator>
  <dc:description/>
  <dc:language>en-US</dc:language>
  <cp:lastModifiedBy/>
  <dcterms:modified xsi:type="dcterms:W3CDTF">2026-09-08T08:09:46Z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