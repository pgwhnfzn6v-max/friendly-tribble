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3" borderId="1" pivotButton="0" quotePrefix="0" xfId="0"/>
    <xf numFmtId="3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9" customWidth="1" min="4" max="4"/>
    <col width="8" customWidth="1" min="5" max="5"/>
    <col width="13" customWidth="1" min="6" max="6"/>
    <col width="15" customWidth="1" min="7" max="7"/>
  </cols>
  <sheetData>
    <row r="1">
      <c r="A1" s="1" t="inlineStr">
        <is>
          <t>請 求 書</t>
        </is>
      </c>
    </row>
    <row r="3">
      <c r="A3" t="inlineStr">
        <is>
          <t>宛　先</t>
        </is>
      </c>
      <c r="B3" t="inlineStr">
        <is>
          <t>丸高工業 御中</t>
        </is>
      </c>
    </row>
    <row r="4">
      <c r="A4" t="inlineStr">
        <is>
          <t>工事名</t>
        </is>
      </c>
      <c r="B4" t="inlineStr">
        <is>
          <t>スウェーデン大使館　作業（人工）</t>
        </is>
      </c>
    </row>
    <row r="5">
      <c r="A5" t="inlineStr">
        <is>
          <t>工事場所</t>
        </is>
      </c>
      <c r="B5" t="inlineStr">
        <is>
          <t>スウェーデン大使館</t>
        </is>
      </c>
    </row>
    <row r="6">
      <c r="A6" t="inlineStr">
        <is>
          <t>作業期間</t>
        </is>
      </c>
      <c r="B6" t="inlineStr">
        <is>
          <t>2026年10月23日（金）〜 10月29日（木）　昼間作業</t>
        </is>
      </c>
    </row>
    <row r="7">
      <c r="A7" t="inlineStr">
        <is>
          <t>請求日</t>
        </is>
      </c>
      <c r="B7" t="inlineStr">
        <is>
          <t>2026年　月　日</t>
        </is>
      </c>
    </row>
    <row r="9">
      <c r="A9" t="inlineStr">
        <is>
          <t>【記入方法】黄色セル（単価・法定福利費率）を入力すると金額が自動計算されます。</t>
        </is>
      </c>
    </row>
    <row r="10">
      <c r="A10" s="2" t="inlineStr">
        <is>
          <t>No.</t>
        </is>
      </c>
      <c r="B10" s="2" t="inlineStr">
        <is>
          <t>項目</t>
        </is>
      </c>
      <c r="C10" s="2" t="inlineStr">
        <is>
          <t>摘要</t>
        </is>
      </c>
      <c r="D10" s="2" t="inlineStr">
        <is>
          <t>数量</t>
        </is>
      </c>
      <c r="E10" s="2" t="inlineStr">
        <is>
          <t>単位</t>
        </is>
      </c>
      <c r="F10" s="2" t="inlineStr">
        <is>
          <t>単価</t>
        </is>
      </c>
      <c r="G10" s="2" t="inlineStr">
        <is>
          <t>金額</t>
        </is>
      </c>
    </row>
    <row r="11">
      <c r="A11" s="3" t="n">
        <v>1</v>
      </c>
      <c r="B11" s="3" t="inlineStr">
        <is>
          <t>作業員 人工</t>
        </is>
      </c>
      <c r="C11" s="3" t="inlineStr">
        <is>
          <t>10/23（金）　昼間作業</t>
        </is>
      </c>
      <c r="D11" s="4" t="n">
        <v>2</v>
      </c>
      <c r="E11" s="4" t="inlineStr">
        <is>
          <t>人工</t>
        </is>
      </c>
      <c r="F11" s="5" t="n"/>
      <c r="G11" s="6">
        <f>IF(F11="","",D11*F11)</f>
        <v/>
      </c>
    </row>
    <row r="12">
      <c r="A12" s="3" t="n">
        <v>2</v>
      </c>
      <c r="B12" s="3" t="inlineStr">
        <is>
          <t>作業員 人工</t>
        </is>
      </c>
      <c r="C12" s="3" t="inlineStr">
        <is>
          <t>10/26（月）　昼間作業</t>
        </is>
      </c>
      <c r="D12" s="4" t="n">
        <v>2</v>
      </c>
      <c r="E12" s="4" t="inlineStr">
        <is>
          <t>人工</t>
        </is>
      </c>
      <c r="F12" s="5" t="n"/>
      <c r="G12" s="6">
        <f>IF(F12="","",D12*F12)</f>
        <v/>
      </c>
    </row>
    <row r="13">
      <c r="A13" s="3" t="n">
        <v>3</v>
      </c>
      <c r="B13" s="3" t="inlineStr">
        <is>
          <t>作業員 人工</t>
        </is>
      </c>
      <c r="C13" s="3" t="inlineStr">
        <is>
          <t>10/27（火）　昼間作業</t>
        </is>
      </c>
      <c r="D13" s="4" t="n">
        <v>2</v>
      </c>
      <c r="E13" s="4" t="inlineStr">
        <is>
          <t>人工</t>
        </is>
      </c>
      <c r="F13" s="5" t="n"/>
      <c r="G13" s="6">
        <f>IF(F13="","",D13*F13)</f>
        <v/>
      </c>
    </row>
    <row r="14">
      <c r="A14" s="3" t="n">
        <v>4</v>
      </c>
      <c r="B14" s="3" t="inlineStr">
        <is>
          <t>作業員 人工</t>
        </is>
      </c>
      <c r="C14" s="3" t="inlineStr">
        <is>
          <t>10/28（水）　昼間作業</t>
        </is>
      </c>
      <c r="D14" s="4" t="n">
        <v>2</v>
      </c>
      <c r="E14" s="4" t="inlineStr">
        <is>
          <t>人工</t>
        </is>
      </c>
      <c r="F14" s="5" t="n"/>
      <c r="G14" s="6">
        <f>IF(F14="","",D14*F14)</f>
        <v/>
      </c>
    </row>
    <row r="15">
      <c r="A15" s="3" t="n">
        <v>5</v>
      </c>
      <c r="B15" s="3" t="inlineStr">
        <is>
          <t>作業員 人工</t>
        </is>
      </c>
      <c r="C15" s="3" t="inlineStr">
        <is>
          <t>10/29（木）　昼間作業</t>
        </is>
      </c>
      <c r="D15" s="4" t="n">
        <v>1</v>
      </c>
      <c r="E15" s="4" t="inlineStr">
        <is>
          <t>人工</t>
        </is>
      </c>
      <c r="F15" s="5" t="n"/>
      <c r="G15" s="6">
        <f>IF(F15="","",D15*F15)</f>
        <v/>
      </c>
    </row>
    <row r="16">
      <c r="A16" s="7" t="n"/>
      <c r="B16" s="7" t="inlineStr">
        <is>
          <t>人工 計</t>
        </is>
      </c>
      <c r="C16" s="7" t="n"/>
      <c r="D16" s="8">
        <f>SUM(D11:D15)</f>
        <v/>
      </c>
      <c r="E16" s="8" t="inlineStr">
        <is>
          <t>人工</t>
        </is>
      </c>
      <c r="F16" s="7" t="n"/>
      <c r="G16" s="9">
        <f>SUM(G11:G15)</f>
        <v/>
      </c>
    </row>
    <row r="17">
      <c r="A17" s="3" t="n"/>
      <c r="B17" s="3" t="inlineStr">
        <is>
          <t>法定福利費</t>
        </is>
      </c>
      <c r="C17" s="3" t="inlineStr">
        <is>
          <t>人工計 × 率</t>
        </is>
      </c>
      <c r="D17" s="4" t="n"/>
      <c r="E17" s="4" t="inlineStr">
        <is>
          <t>率</t>
        </is>
      </c>
      <c r="F17" s="10" t="n"/>
      <c r="G17" s="6">
        <f>IF(F17="","",ROUND(G16*F17,0))</f>
        <v/>
      </c>
    </row>
    <row r="18">
      <c r="A18" s="3" t="n"/>
      <c r="B18" s="3" t="inlineStr">
        <is>
          <t>諸経費</t>
        </is>
      </c>
      <c r="C18" s="3" t="inlineStr">
        <is>
          <t>人工計 × 5%</t>
        </is>
      </c>
      <c r="D18" s="4" t="n"/>
      <c r="E18" s="4" t="inlineStr">
        <is>
          <t>率</t>
        </is>
      </c>
      <c r="F18" s="11" t="n">
        <v>0.05</v>
      </c>
      <c r="G18" s="6">
        <f>IF(G16="","",ROUND(G16*F18,0))</f>
        <v/>
      </c>
    </row>
    <row r="19">
      <c r="A19" s="7" t="n"/>
      <c r="B19" s="7" t="inlineStr">
        <is>
          <t>小　計</t>
        </is>
      </c>
      <c r="C19" s="7" t="n"/>
      <c r="D19" s="8" t="n"/>
      <c r="E19" s="8" t="n"/>
      <c r="F19" s="7" t="n"/>
      <c r="G19" s="9">
        <f>SUM(G16:G18)</f>
        <v/>
      </c>
    </row>
    <row r="20">
      <c r="A20" s="3" t="n"/>
      <c r="B20" s="3" t="inlineStr">
        <is>
          <t>消費税</t>
        </is>
      </c>
      <c r="C20" s="3" t="n"/>
      <c r="D20" s="4" t="n"/>
      <c r="E20" s="4" t="inlineStr">
        <is>
          <t>率</t>
        </is>
      </c>
      <c r="F20" s="12" t="n">
        <v>0.1</v>
      </c>
      <c r="G20" s="6">
        <f>ROUND(G19*F20,0)</f>
        <v/>
      </c>
    </row>
    <row r="21">
      <c r="A21" s="7" t="n"/>
      <c r="B21" s="7" t="inlineStr">
        <is>
          <t>請求金額（税込）</t>
        </is>
      </c>
      <c r="C21" s="7" t="n"/>
      <c r="D21" s="8" t="n"/>
      <c r="E21" s="8" t="n"/>
      <c r="F21" s="7" t="n"/>
      <c r="G21" s="9">
        <f>G19+G20</f>
        <v/>
      </c>
    </row>
    <row r="23">
      <c r="B23" t="inlineStr">
        <is>
          <t>【備考】道具代は含みません。</t>
        </is>
      </c>
    </row>
    <row r="24">
      <c r="B24" t="inlineStr">
        <is>
          <t>【お振込先】</t>
        </is>
      </c>
    </row>
    <row r="25">
      <c r="B25" t="inlineStr">
        <is>
          <t>（振込先・会社名・住所・登録番号を記入）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2026-10-31T02:57:41Z</dcterms:created>
  <dcterms:modified xmlns:dcterms="http://purl.org/dc/terms/" xmlns:xsi="http://www.w3.org/2001/XMLSchema-instance" xsi:type="dcterms:W3CDTF">2026-10-31T02:57:41Z</dcterms:modified>
</cp:coreProperties>
</file>